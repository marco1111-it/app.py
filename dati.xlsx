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cchin\Downloads\"/>
    </mc:Choice>
  </mc:AlternateContent>
  <xr:revisionPtr revIDLastSave="0" documentId="13_ncr:1_{E642F698-F5F1-437F-8DC3-B09FF280CAD3}" xr6:coauthVersionLast="47" xr6:coauthVersionMax="47" xr10:uidLastSave="{00000000-0000-0000-0000-000000000000}"/>
  <bookViews>
    <workbookView xWindow="-120" yWindow="-120" windowWidth="29040" windowHeight="15840" activeTab="2" xr2:uid="{F8C22D4D-AE49-4BA4-A9B8-6C20276A8436}"/>
  </bookViews>
  <sheets>
    <sheet name="C" sheetId="1" r:id="rId1"/>
    <sheet name="B" sheetId="2" r:id="rId2"/>
    <sheet name="A" sheetId="3" r:id="rId3"/>
    <sheet name="Foglio2" sheetId="5" r:id="rId4"/>
  </sheets>
  <definedNames>
    <definedName name="_xlnm._FilterDatabase" localSheetId="2" hidden="1">A!$A$1:$G$1954</definedName>
    <definedName name="_xlnm._FilterDatabase" localSheetId="1" hidden="1">B!$A$1:$E$3662</definedName>
    <definedName name="_xlnm._FilterDatabase" localSheetId="0" hidden="1">'C'!$A$1:$E$3661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3" l="1"/>
  <c r="L11" i="3"/>
  <c r="L10" i="3"/>
  <c r="I9" i="1" a="1"/>
  <c r="I9" i="1" s="1"/>
  <c r="I11" i="1" l="1" a="1"/>
  <c r="I11" i="1" s="1"/>
  <c r="I13" i="1" s="1" a="1"/>
  <c r="I13" i="1" s="1"/>
  <c r="I15" i="1" s="1" a="1"/>
  <c r="I15" i="1" s="1"/>
  <c r="J9" i="1" a="1"/>
  <c r="K9" i="1" a="1"/>
  <c r="K9" i="1" s="1"/>
  <c r="J9" i="1" l="1"/>
  <c r="I29" i="1" a="1"/>
  <c r="I29" i="1" s="1"/>
  <c r="J15" i="1" a="1"/>
  <c r="J15" i="1" l="1"/>
  <c r="N37" i="1" a="1"/>
  <c r="N37" i="1" s="1"/>
  <c r="J29" i="1" a="1"/>
  <c r="J29" i="1" l="1"/>
  <c r="O37" i="1" a="1"/>
  <c r="N41" i="1" a="1"/>
  <c r="N41" i="1" s="1"/>
  <c r="L2" i="3" s="1" a="1"/>
  <c r="L2" i="3" s="1"/>
  <c r="M11" i="3" s="1" a="1"/>
  <c r="M11" i="3" s="1"/>
  <c r="M2" i="3" l="1" a="1"/>
  <c r="O37" i="1"/>
  <c r="O41" i="1" a="1"/>
  <c r="M15" i="3" l="1" a="1"/>
  <c r="M15" i="3" s="1"/>
  <c r="M2" i="3"/>
  <c r="O41" i="1"/>
  <c r="N15" i="3" l="1" a="1"/>
  <c r="M28" i="3" a="1"/>
  <c r="M28" i="3" s="1"/>
  <c r="N28" i="3" s="1" a="1"/>
  <c r="N11" i="3" a="1"/>
  <c r="N15" i="3" l="1"/>
  <c r="N28" i="3"/>
  <c r="N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Facchin</author>
  </authors>
  <commentList>
    <comment ref="R28" authorId="0" shapeId="0" xr:uid="{F2EC140F-6D89-492B-9055-D9F4C82FFFD2}">
      <text>
        <r>
          <rPr>
            <b/>
            <sz val="9"/>
            <color indexed="81"/>
            <rFont val="Tahoma"/>
            <family val="2"/>
          </rPr>
          <t>Marco Facchin:</t>
        </r>
        <r>
          <rPr>
            <sz val="9"/>
            <color indexed="81"/>
            <rFont val="Tahoma"/>
            <family val="2"/>
          </rPr>
          <t xml:space="preserve">
Quanto produce questa coppia rispetto alla migliore coppia in assoluto? RAPPORTO DI FORZA RISPETTO ALLA COPPIA MIGLIORE IN ASSOLUTO (SOLO DI QUANTITA')</t>
        </r>
      </text>
    </comment>
    <comment ref="S28" authorId="0" shapeId="0" xr:uid="{96AB8536-9239-4467-8E51-7A4BCED6FAE3}">
      <text>
        <r>
          <rPr>
            <b/>
            <sz val="9"/>
            <color indexed="81"/>
            <rFont val="Tahoma"/>
            <family val="2"/>
          </rPr>
          <t>Marco Facchin:</t>
        </r>
        <r>
          <rPr>
            <sz val="9"/>
            <color indexed="81"/>
            <rFont val="Tahoma"/>
            <family val="2"/>
          </rPr>
          <t xml:space="preserve">
Quanto è stabile e ripetuta questa coppia nella storia? STESSO DISCORSO DI PRIMA MA SULLA FREQUENZA. SE = 1 è LA Più FREQUENTE</t>
        </r>
      </text>
    </comment>
    <comment ref="T28" authorId="0" shapeId="0" xr:uid="{94176EF3-E8E7-4DEF-B78E-8881752F302C}">
      <text>
        <r>
          <rPr>
            <b/>
            <sz val="9"/>
            <color indexed="81"/>
            <rFont val="Tahoma"/>
            <family val="2"/>
          </rPr>
          <t>Marco Facchin:</t>
        </r>
        <r>
          <rPr>
            <sz val="9"/>
            <color indexed="81"/>
            <rFont val="Tahoma"/>
            <family val="2"/>
          </rPr>
          <t xml:space="preserve">
SCORE = (Q_N * 0.6) + (F_N * 0.4)</t>
        </r>
      </text>
    </comment>
    <comment ref="U28" authorId="0" shapeId="0" xr:uid="{1514A5CC-8009-4144-A94A-3DAA816DA00F}">
      <text>
        <r>
          <rPr>
            <b/>
            <sz val="9"/>
            <color indexed="81"/>
            <rFont val="Tahoma"/>
            <family val="2"/>
          </rPr>
          <t>Marco Facchin:</t>
        </r>
        <r>
          <rPr>
            <sz val="9"/>
            <color indexed="81"/>
            <rFont val="Tahoma"/>
            <family val="2"/>
          </rPr>
          <t xml:space="preserve">
CONFIDENCE = SCORE * (FREQUENZA / (FREQUENZA + K)) PENALIZZA LE COPPIE VISTE POCHE VOLTE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 = xl(%P2%, headers=True)
df.columns = df.columns.str.strip()
risultato = (
    df[df["FAMIGLIA"].str.contains("PIZZA", case=False, na=False)]
    .groupby("LOTTO")
    .filter(lambda x: x["CODICE"].nunique() == 2)
)
risultato</code>
    </pythonScript>
    <pythonScript>
      <code>import pandas as pd
df = xl(%P2%, headers=True)
df.columns = df.columns.str.strip()
risultato = (
    df[df["FAMIGLIA"].str.contains("PIZZA", case=False, na=False)]
    .groupby("LOTTO")
    .filter(lambda x: x["CODICE"].nunique() == 2)
    .groupby("LOTTO", as_index=False)["QUANTITà"]
    .sum()
    .rename(columns={"QUANTITà": "QUANTITA_TOTALE"})
)
risultato</code>
    </pythonScript>
    <pythonScript>
      <code>import pandas as pd
df = xl(%P2%, headers=True)
df.columns = df.columns.str.strip()
# solo PIZZA e solo lotti con esattamente 2 codici
df2 = (
    df[df["FAMIGLIA"].str.contains("PIZZA", case=False, na=False)]
    .groupby("LOTTO")
    .filter(lambda x: x["CODICE"].nunique() == 2)
)
# per ogni lotto: crea la coppia codici ordinata + somma quantità
per_lotto = (
    df2.groupby("LOTTO")
    .apply(lambda x: pd.Series({
        "COPPIA_CODICI": "-".join(sorted(x["CODICE"].astype(str).unique())),
        "QUANTITA_TOTALE": x["QUANTITà"].sum()
    }))
    .reset_index()
)
# accorpa coppie uguali e fa la media delle quantità
risultato = (
    per_lotto.groupby("COPPIA_CODICI", as_index=False)["QUANTITA_TOTALE"]
    .mean()
    .rename(columns={"QUANTITA_TOTALE": "QUANTITA_MEDIA"})
)
risultato</code>
    </pythonScript>
    <pythonScript>
      <code>import pandas as pd
df = xl(%P2%, headers=True)
df.columns = df.columns.str.strip()
# solo PIZZA e solo lotti con esattamente 2 codici
df2 = (
    df[df["FAMIGLIA"].str.contains("PIZZA", case=False, na=False)]
    .groupby("LOTTO")
    .filter(lambda x: x["CODICE"].nunique() == 2)
)
# per ogni lotto: crea coppia codici + somma quantità
per_lotto = (
    df2.groupby("LOTTO")
    .apply(lambda x: pd.Series({
        "COPPIA_CODICI": "-".join(sorted(x["CODICE"].astype(str).unique())),
        "QUANTITA_TOTALE": x["QUANTITà"].sum()
    }))
    .reset_index()
)
# accorpa coppie uguali, media quantità e ordina decrescente
risultato = (
    per_lotto.groupby("COPPIA_CODICI", as_index=False)["QUANTITA_TOTALE"]
    .mean()
    .rename(columns={"QUANTITA_TOTALE": "QUANTITA_MEDIA"})
    .sort_values("QUANTITA_MEDIA", ascending=False)
    .reset_index(drop=True)
)
risultato</code>
    </pythonScript>
    <pythonScript>
      <code>risultato.iloc[4:10]</code>
    </pythonScript>
    <pythonScript>
      <code>import pandas as pd
df = xl(%P2%, headers=True)
df.columns = df.columns.str.strip()
risultato = (
    df[df["FAMIGLIA"].str.contains("PIZZA", case=False, na=False)]
    .groupby("LOTTO")
    .filter(lambda x: set(pd.to_numeric(x["CODICE"]).unique()) == {2738, 4906})
    ["LOTTO"]
    .drop_duplicates()
    .sort_values()
    .reset_index(drop=True)
)
risultato</code>
    </pythonScript>
    <pythonScript>
      <code>import pandas as pd
df = xl(%P2%, headers=True)
df.columns = df.columns.str.strip()
# solo PIZZA e solo lotti con esattamente 2 codici
df2 = (
    df[df["FAMIGLIA"].str.contains("PIZZA", case=False, na=False)]
    .groupby("LOTTO")
    .filter(lambda x: x["CODICE"].nunique() == 2)
)
# crea la coppia codici per ogni lotto
per_lotto = (
    df2.groupby("LOTTO")
    .apply(lambda x: pd.Series({
        "COPPIA_CODICI": "-".join(sorted(x["CODICE"].astype(str).unique()))
    }))
    .reset_index()
)
# tieni solo le coppie presenti in più di un lotto
risultato = (
    per_lotto.groupby("COPPIA_CODICI")
    .agg(
        NUM_LOTTI=("LOTTO", "nunique"),
        LOTTI=("LOTTO", lambda x: ", ".join(sorted(x.astype(str))))
    )
    .reset_index()
)
risultato = risultato[risultato["NUM_LOTTI"] &gt; 1]
risultato</code>
    </pythonScript>
    <pythonScript>
      <code>import pandas as pd
# =====================
# FOGLIO A
# =====================
df_a = xl(%P2%, headers=True)
df_a.columns = df_a.columns.str.strip()
df_a["REFERENZA"] = df_a["REFERENZA"].astype(str).str.strip()
df_a["LOTTO"] = df_a["LOTTO"].astype(str).str.strip()
df_a["TURNO"] = df_a["TURNO"].astype(str).str.strip()
# filtro robusto (NON fragile)
df_a_9053 = df_a[df_a["REFERENZA"].str.contains("9053", na=False)]
# debug rapido
if df_a_9053.empty:
    risultato = pd.DataFrame({
        "ERRORE": ["9053 NON TROVATO IN FOGLIO A DOPO FILTRO ROBUSTO"]
    })
else:
    ore_lotti = (
        df_a_9053[df_a_9053["TURNO"] != "2"]
        .groupby("LOTTO", as_index=False)["ORE TOT FASE"]
        .sum()
    )
    # =====================
    # FOGLIO B
    # =====================
    df_b = xl(%P3%, headers=True)
    df_b.columns = df_b.columns.str.strip()
    df_b["CODICE"] = df_b["CODICE"].astype(str).str.strip()
    df_b["LOTTO"] = df_b["LOTTO"].astype(str).str.strip()
    df_b_9053 = df_b[df_b["CODICE"].str.contains("9053", na=False)]
    qta_lotti = (
        df_b_9053.groupby("LOTTO", as_index=False)["QUANTITà"]
        .sum()
    )
    # =====================
    # MERGE
    # =====================
    df_merge = pd.merge(ore_lotti, qta_lotti, on="LOTTO", how="inner")
    # 🔴 se ancora vuoto → diagnosi chiara
    if df_merge.empty:
        risultato = pd.DataFrame({
            "ERRORE": ["MERGE VUOTO DOPO FILTRO"],
            "CAUSA": ["LOTTO o CODICE non coerenti tra A e B"]
        })
    else:
        df_merge["ORE_PER_PEZZO"] = (
            df_merge["ORE TOT FASE"] / df_merge["QUANTITà"]
        )
        risultato = pd.DataFrame({
            "REFERENZA": ["9053"],
            "ORE_PER_PEZZO_MEDIO": [df_merge["ORE_PER_PEZZO"].median()],
            "PEZZI_STIMATI_88_ORE": [88 / df_merge["ORE_PER_PEZZO"].median()],
            "NUM_LOTTI_ANALIZZATI": [df_merge["LOTTO"].nunique()]
        })
risultato</code>
    </pythonScript>
    <pythonScript>
      <code>import pandas as pd
# =====================
# INPUT
# =====================
codice = str(xl(%P2%)).strip()
ore_teoriche = float(xl(%P3%))
pezzi_teorici = float(xl(%P4%))
civ = float(xl(%P5%))
costo_fisso = float(xl(%P6%))
margine = float(xl(%P7%)) / 100  # %%
# =====================
# FOGLIO A
# =====================
df_a = xl(%P8%, headers=True)
df_a.columns = df_a.columns.str.strip()
df_a["REFERENZA"] = df_a["REFERENZA"].astype(str).str.strip()
df_a["LOTTO"] = df_a["LOTTO"].astype(str).str.strip()
df_a["TURNO"] = df_a["TURNO"].astype(str).str.strip()
df_a = df_a[df_a["REFERENZA"].str.contains(codice, na=False)]
df_a = df_a[df_a["TURNO"] != "2"]
df_a["ORE TOT FASE"] = pd.to_numeric(df_a["ORE TOT FASE"], errors="coerce")
ore_lotti = df_a.groupby("LOTTO", as_index=False)["ORE TOT FASE"].sum()
# =====================
# FOGLIO B
# =====================
df_b = xl(%P9%, headers=True)
df_b.columns = df_b.columns.str.strip()
df_b["CODICE"] = df_b["CODICE"].astype(str).str.strip()
df_b["LOTTO"] = df_b["LOTTO"].astype(str).str.strip()
df_b = df_b[df_b["CODICE"].str.contains(codice, na=False)]
df_b["QUANTITà"] = pd.to_numeric(df_b["QUANTITà"], errors="coerce")
qta_lotti = df_b.groupby("LOTTO", as_index=False)["QUANTITà"].sum()
# =====================
# MERGE
# =====================
df_merge = pd.merge(ore_lotti, qta_lotti, on="LOTTO", how="inner")
# =====================
# CONTROLLO
# =====================
if df_merge.empty:
    risultato = pd.DataFrame([{
        "CODICE": codice,
        "ERRORE": "MERGE VUOTO"
    }])
else:
    # KPI PRODUZIONE
    df_merge["ORE_PER_PEZZO"] = df_merge["ORE TOT FASE"] / df_merge["QUANTITà"]
    ore_per_pezzo_medio = df_merge["ORE_PER_PEZZO"].median()
    ore_totali_reali = df_merge["ORE TOT FASE"].sum()
    quantita_totale = df_merge["QUANTITà"].sum()
    pezzi_stimati = (
        ore_teoriche / ore_per_pezzo_medio
        if ore_per_pezzo_medio &gt; 0 else 0
    )
    # =====================
    # VOLATILITA CICLO
    # =====================
    rate_teorico = (
        pezzi_teorici / ore_teoriche
        if ore_teoriche &gt; 0 else 0
    )
    rate_reale = (
        quantita_totale / ore_totali_reali
        if ore_totali_reali &gt; 0 else 0
    )
    volatilita = (
        abs(rate_reale - rate_teorico) / rate_teorico
        if rate_teorico &gt; 0 else 0
    )
    # =====================
    # COSTO COMPLETO UNITARIO
    # =====================
    costo_unitario = (
        (civ + costo_fisso) / pezzi_teorici
        if pezzi_teorici &gt; 0 else 0
    )
    # =====================
    # PREZZO VENDITA
    # =====================
    prezzo_vendita = (
        costo_unitario * (1 + margine)
        if costo_unitario &gt; 0 else 0
    )
    # =====================
    # OUTPUT FINALE
    # =====================
    risultato = pd.DataFrame([{
        "CODICE": codice,
        "ORE_TOT_REALI": ore_totali_reali,
        "QUANTITA_TOT": quantita_totale,
        "ORE_PER_PEZZO": ore_per_pezzo_medio,
        "PEZZI_STIMATI": pezzi_stimati,
        "VOLATILITA_CICLO": volatilita,
        "COSTO_UNITARIO": costo_unitario,
        "PREZZO_VENDITA": prezzo_vendita
    }])
risultato</code>
    </pythonScript>
    <pythonScript>
      <code>import pandas as pd
codice = str(xl(%P2%)).strip()
df = xl(%P3%, headers=True)
df.columns = df.columns.str.strip()
df["CODICE"] = df["CODICE"].astype(str).str.strip()
df["LOTTO"] = df["LOTTO"].astype(str).str.strip()
df["QUANTITà"] = pd.to_numeric(df["QUANTITà"], errors="coerce")
# =====================
# FAMIGLIA
# =====================
df["FAMIGLIA"] = df["FAMIGLIA"].astype(str).str.strip()
df = df[~df["FAMIGLIA"].str.contains("PANE", case=False, na=False)]
df = df[~df["FAMIGLIA"].str.contains("GRISSINI", case=False, na=False)]
# =====================
# SOLO LOTTI CON 2 CODICI
# =====================
df2 = (
    df.groupby("LOTTO")
    .filter(lambda x: x["CODICE"].nunique() == 2)
)
# =====================
# COPPIE PER LOTTO
# =====================
per_lotto = (
    df2.groupby("LOTTO")
    .apply(lambda x: pd.Series({
        "COPPIA_CODICI": "-".join(sorted(x["CODICE"].dropna().unique())),
        "QUANTITA_TOTALE": x["QUANTITà"].sum()
    }))
    .reset_index()
)
# =====================
# FILTRO L9
# =====================
per_lotto = per_lotto[
    per_lotto["COPPIA_CODICI"].str.contains(codice)
]
# =====================
# ACCORPAMENTO + FREQUENZA
# =====================
risultato = (
    per_lotto
    .groupby("COPPIA_CODICI", as_index=False)
    .agg(
        QUANTITA_MEDIA=("QUANTITA_TOTALE", "mean"),
        FREQUENZA=("COPPIA_CODICI", "count")
    )
    .sort_values("QUANTITA_MEDIA", ascending=False)
    .reset_index(drop=True)
)
risultato</code>
    </pythonScript>
    <pythonScript>
      <code>import pandas as pd
codice = str(xl(%P2%)).strip()
df = xl(%P3%, headers=True)
df.columns = df.columns.str.strip()
df["CODICE"] = df["CODICE"].astype(str).str.strip()
df["LOTTO"] = df["LOTTO"].astype(str).str.strip()
df["QUANTITà"] = pd.to_numeric(df["QUANTITà"], errors="coerce")
# =====================
# FAMIGLIA
# =====================
df["FAMIGLIA"] = df["FAMIGLIA"].astype(str).str.strip()
df = df[~df["FAMIGLIA"].str.contains("PANE", case=False, na=False)]
df = df[~df["FAMIGLIA"].str.contains("GRISSINI", case=False, na=False)]
# =====================
# SOLO LOTTI CON 2 CODICI
# =====================
df2 = (
    df.groupby("LOTTO")
    .filter(lambda x: x["CODICE"].nunique() == 2)
)
# =====================
# COPPIE PER LOTTO
# =====================
per_lotto = (
    df2.groupby("LOTTO")
    .apply(lambda x: pd.Series({
        "COPPIA_CODICI": "-".join(sorted(x["CODICE"].dropna().unique())),
        "QUANTITA_TOTALE": x["QUANTITà"].sum()
    }))
    .reset_index()
)
# =====================
# FILTRO L9
# =====================
per_lotto = per_lotto[
    per_lotto["COPPIA_CODICI"].str.contains(codice)
]
# =====================
# ACCORPAMENTO + FREQUENZA + SCORE
# =====================
stats = (
    per_lotto
    .groupby("COPPIA_CODICI", as_index=False)
    .agg(
        QUANTITA_MEDIA=("QUANTITA_TOTALE", "mean"),
        FREQUENZA=("COPPIA_CODICI", "count")
    )
)
if not stats.empty:
    # =====================
    # NORMALIZZAZIONE
    # =====================
    stats["Q_N"] = stats["QUANTITA_MEDIA"] / stats["QUANTITA_MEDIA"].max()
    stats["F_N"] = stats["FREQUENZA"] / stats["FREQUENZA"].max()
    # =====================
    # SCORE COMBINATO
    # =====================
    stats["SCORE"] = (stats["Q_N"] * 0.6) + (stats["F_N"] * 0.4)
    # =====================
    # CONFIDENCE (ROBUSTEZZA)
    # =====================
    K = 5
    stats["CONFIDENCE"] = stats["SCORE"] * (stats["FREQUENZA"] / (stats["FREQUENZA"] + K))
    # =====================
    # ORDINA
    # =====================
    stats = stats.sort_values("SCORE", ascending=False).reset_index(drop=True)
    risultato = stats
else:
    risultato = pd.DataFrame([{
        "COPPIA_CODICI": "NESSUNO",
        "QUANTITA_MEDIA": 0,
        "FREQUENZA": 0,
        "SCORE": 0,
        "CONFIDENCE": 0
    }])
risultato</code>
    </pythonScript>
  </pythonScripts>
</python>
</file>

<file path=xl/sharedStrings.xml><?xml version="1.0" encoding="utf-8"?>
<sst xmlns="http://schemas.openxmlformats.org/spreadsheetml/2006/main" count="17902" uniqueCount="728">
  <si>
    <t>CODICE</t>
  </si>
  <si>
    <t>DESCRIZIONE</t>
  </si>
  <si>
    <t>QUANTITà</t>
  </si>
  <si>
    <t>LOTTO</t>
  </si>
  <si>
    <t>FAMIGLIA</t>
  </si>
  <si>
    <t>PIZZICOTTA CLASSICA RETTANGOLARE 20x30</t>
  </si>
  <si>
    <t>200126</t>
  </si>
  <si>
    <t>PIZZA ATM</t>
  </si>
  <si>
    <t>130126</t>
  </si>
  <si>
    <t>PIZZICOTTA NOIR RETTANGOLARE  20X30</t>
  </si>
  <si>
    <t>PIZZICOTTA PINSA ROMANA 240 G</t>
  </si>
  <si>
    <t>PIZZICOTTA FOCACCINE CLASSICHE 75G</t>
  </si>
  <si>
    <t>210126</t>
  </si>
  <si>
    <t>CLASSICA RETT MONO (10PZ) CONG.</t>
  </si>
  <si>
    <t>270126</t>
  </si>
  <si>
    <t>PIZZA GELO</t>
  </si>
  <si>
    <t>BASE PIZZA TONDA CLASSICA (15PZ) CONG</t>
  </si>
  <si>
    <t>280126</t>
  </si>
  <si>
    <t>260126</t>
  </si>
  <si>
    <t>230126</t>
  </si>
  <si>
    <t>220126</t>
  </si>
  <si>
    <t>190126</t>
  </si>
  <si>
    <t>160126</t>
  </si>
  <si>
    <t>120126</t>
  </si>
  <si>
    <t>PIZZICOTTA CLASSICA RETTAN.20X30 AMBIENT</t>
  </si>
  <si>
    <t>PIZZA AMBIENT</t>
  </si>
  <si>
    <t>PIZZICOTTA PINSA ROMANA 240g AMBIENT</t>
  </si>
  <si>
    <t>MALFATTO 27PZ GELO</t>
  </si>
  <si>
    <t>PANE</t>
  </si>
  <si>
    <t>MALFATTO 36PZ GELO</t>
  </si>
  <si>
    <t>250126</t>
  </si>
  <si>
    <t>150126</t>
  </si>
  <si>
    <t>PANNOCCHIA 36PZ GELO</t>
  </si>
  <si>
    <t>TRECCIA 36PZ GELO</t>
  </si>
  <si>
    <t>PANE CURCUMA E PEPE 36PZ GELO</t>
  </si>
  <si>
    <t>PANE RIGATO 36PZ GELO</t>
  </si>
  <si>
    <t>PANE PATATE LATTE E ROSMARINO 36PZ GELO</t>
  </si>
  <si>
    <t>PANE AL RISO 36PZ GELO</t>
  </si>
  <si>
    <t>SOFFIATO AL MAIS 36PZ GELO</t>
  </si>
  <si>
    <t>CARBONELLO 28 PZ GELO</t>
  </si>
  <si>
    <t>FARFALLA 36PZ GELO</t>
  </si>
  <si>
    <t>ONDA 36PZ GELO</t>
  </si>
  <si>
    <t>PANE DA HAMBURGER CLASSICO 120G 24PZ GEL</t>
  </si>
  <si>
    <t>PANE H</t>
  </si>
  <si>
    <t>LINGUA ROMANA PRETAGLIATA</t>
  </si>
  <si>
    <t>PIZZA GELO LB</t>
  </si>
  <si>
    <t>BASE PIZZA CLASSICA RETT. XL 25X55 GELO</t>
  </si>
  <si>
    <t>MINI BUNS ASSORTITI GELO 20 PZ X4 GUSTI</t>
  </si>
  <si>
    <t>BASE 20x40 - 400g PRETAGLIATA 10pz GELO</t>
  </si>
  <si>
    <t>140126</t>
  </si>
  <si>
    <t>PIZZICOTTA PINSA ROMANA GELO 240 G</t>
  </si>
  <si>
    <t>PIZZICOTTA CLASSICA TONDA MIGNON gelo 10</t>
  </si>
  <si>
    <t>FOCACCIA GENOVESE GELO  8 PZ</t>
  </si>
  <si>
    <t>PIZZA NAPOLETANA GELO 285gx12</t>
  </si>
  <si>
    <t>BASE PIZZA NAPOLET.GELO G&amp;O285g</t>
  </si>
  <si>
    <t>PANE ROSA 36x90g - 5002249</t>
  </si>
  <si>
    <t>PIZZICOTTA TONDA BABY 15cm - gelo</t>
  </si>
  <si>
    <t>FOCACCIA GENOVESE RIGA PRETAGLIATA 350G</t>
  </si>
  <si>
    <t>170226</t>
  </si>
  <si>
    <t>110226</t>
  </si>
  <si>
    <t>060226</t>
  </si>
  <si>
    <t>290126</t>
  </si>
  <si>
    <t>BASE PINSASTYLE (12PZ) CONG.</t>
  </si>
  <si>
    <t>090226</t>
  </si>
  <si>
    <t>050226</t>
  </si>
  <si>
    <t>020226</t>
  </si>
  <si>
    <t>230226</t>
  </si>
  <si>
    <t>200226</t>
  </si>
  <si>
    <t>120226</t>
  </si>
  <si>
    <t>100226</t>
  </si>
  <si>
    <t>040226</t>
  </si>
  <si>
    <t>300126</t>
  </si>
  <si>
    <t>190226</t>
  </si>
  <si>
    <t>PIZZICOTTA FOCACCINE CLASSIC 75G AMBIENT</t>
  </si>
  <si>
    <t>180226</t>
  </si>
  <si>
    <t>160226</t>
  </si>
  <si>
    <t>030226</t>
  </si>
  <si>
    <t>PANE AL RISO NERO 36PZ GELO</t>
  </si>
  <si>
    <t>PANE AI CEREALI 36PZ GELO</t>
  </si>
  <si>
    <t>CAMPAGNOLO 40PZ GELO</t>
  </si>
  <si>
    <t>PUCCIA 36PZ GELO</t>
  </si>
  <si>
    <t>BASE PIZZA CLASSICA RETT.MAXI 10PZ GELO</t>
  </si>
  <si>
    <t>BASE PIZZA CLASSICA TONDA D28 15PZ GELO</t>
  </si>
  <si>
    <t>130226</t>
  </si>
  <si>
    <t>PAN PIZZA GELO 120g 20x10</t>
  </si>
  <si>
    <t>PIZZICOTTA TASCA</t>
  </si>
  <si>
    <t>PANE CEREALI 36x90g - 5002251</t>
  </si>
  <si>
    <t>PANE ROSMARINO 36x90g - 5002250</t>
  </si>
  <si>
    <t>FOCACCIA MULTICEREALE INTERA GELO  8 PZ</t>
  </si>
  <si>
    <t>BOCCONCINI AL BURRO GELO 20 PZ FAST</t>
  </si>
  <si>
    <t>BOCCONCINI ALLA BARBAB. GELO 20 PZ FAST</t>
  </si>
  <si>
    <t>BOCCONCINI NOIR GELO 20 PZ FAST</t>
  </si>
  <si>
    <t>BOCCONCINI ALLA CURCUMA GELO  20 PZ FAST</t>
  </si>
  <si>
    <t>250226</t>
  </si>
  <si>
    <t>260226</t>
  </si>
  <si>
    <t>240226</t>
  </si>
  <si>
    <t>270226</t>
  </si>
  <si>
    <t>PIZZICOTTA RETTANGOLARE 28X50</t>
  </si>
  <si>
    <t>240326</t>
  </si>
  <si>
    <t>110326</t>
  </si>
  <si>
    <t>200326</t>
  </si>
  <si>
    <t>130326</t>
  </si>
  <si>
    <t>310326</t>
  </si>
  <si>
    <t>300326</t>
  </si>
  <si>
    <t>270326</t>
  </si>
  <si>
    <t>160326</t>
  </si>
  <si>
    <t>100326</t>
  </si>
  <si>
    <t>260326</t>
  </si>
  <si>
    <t>250326</t>
  </si>
  <si>
    <t>230326</t>
  </si>
  <si>
    <t>190326</t>
  </si>
  <si>
    <t>050326</t>
  </si>
  <si>
    <t>040326</t>
  </si>
  <si>
    <t>020326</t>
  </si>
  <si>
    <t>120326</t>
  </si>
  <si>
    <t>090326</t>
  </si>
  <si>
    <t>060326</t>
  </si>
  <si>
    <t>030326</t>
  </si>
  <si>
    <t>CARBONELLO 36 PZ GELO</t>
  </si>
  <si>
    <t>QUADRETTO 36PZ GELO</t>
  </si>
  <si>
    <t>BASE CLASSICA RETT.MINI 15X30 16PZ GELO</t>
  </si>
  <si>
    <t>FOCACCIA GENOVESE PRETAGLIATA GELO  8 PZ</t>
  </si>
  <si>
    <t>BUN (BURGER) 90G GRANDE gelo 24PZ</t>
  </si>
  <si>
    <t>BASE PIZZA TONDA CLASSICA (12PZ) CONG</t>
  </si>
  <si>
    <t>020426</t>
  </si>
  <si>
    <t>090426</t>
  </si>
  <si>
    <t>210426</t>
  </si>
  <si>
    <t>220426</t>
  </si>
  <si>
    <t>290426</t>
  </si>
  <si>
    <t>030426</t>
  </si>
  <si>
    <t>070426</t>
  </si>
  <si>
    <t>080426</t>
  </si>
  <si>
    <t>170426</t>
  </si>
  <si>
    <t>200426</t>
  </si>
  <si>
    <t>BASE NOIR  (15PZ) CONG.</t>
  </si>
  <si>
    <t>010426</t>
  </si>
  <si>
    <t>100426</t>
  </si>
  <si>
    <t>130426</t>
  </si>
  <si>
    <t>140426</t>
  </si>
  <si>
    <t>150426</t>
  </si>
  <si>
    <t>160426</t>
  </si>
  <si>
    <t>230426</t>
  </si>
  <si>
    <t>270424</t>
  </si>
  <si>
    <t>280426</t>
  </si>
  <si>
    <t>PINSA ROMANA AMBIENT 240g AMORO</t>
  </si>
  <si>
    <t>240426</t>
  </si>
  <si>
    <t>PATATE E ZUCCA 36PZ GELO</t>
  </si>
  <si>
    <t>270426</t>
  </si>
  <si>
    <t>BASE PIZZA TONDA CLASSICA (18PZ) CONG</t>
  </si>
  <si>
    <t>.</t>
  </si>
  <si>
    <t>in quali lotti sono state calcolate le medie?</t>
  </si>
  <si>
    <t>in che lotto è presente la coppia più produttiva? (SOLO 2 CODICI)</t>
  </si>
  <si>
    <t>PIZZICOTTA CLASSICA RETTANGOLARE MONO</t>
  </si>
  <si>
    <t>300125</t>
  </si>
  <si>
    <t>290125</t>
  </si>
  <si>
    <t>240125</t>
  </si>
  <si>
    <t>170125</t>
  </si>
  <si>
    <t>PIZZICOTTA TONDA NOIR MINI</t>
  </si>
  <si>
    <t>160125</t>
  </si>
  <si>
    <t>PIZZICOTTA CLASSICA TONDA</t>
  </si>
  <si>
    <t>PIZZICOTTA INTEGRALE RETTANG. MINI</t>
  </si>
  <si>
    <t>PIZZICOTTA PINSA ROMANA OVALE ATM 240 G</t>
  </si>
  <si>
    <t>PIZZICOTTA FOCACCINE CLASSICHE</t>
  </si>
  <si>
    <t>310125</t>
  </si>
  <si>
    <t>140125</t>
  </si>
  <si>
    <t>150125</t>
  </si>
  <si>
    <t>130125</t>
  </si>
  <si>
    <t>270125</t>
  </si>
  <si>
    <t>210125</t>
  </si>
  <si>
    <t>200125</t>
  </si>
  <si>
    <t>PANNOCCHIA 33PZ GELO</t>
  </si>
  <si>
    <t>280125</t>
  </si>
  <si>
    <t>PANE DA HAMBURGER CEREALI 95G 24PZ GELO</t>
  </si>
  <si>
    <t>GRISSINI MAIS BRAMATO 200g</t>
  </si>
  <si>
    <t>GRISSINI</t>
  </si>
  <si>
    <t>GRISSINI AL NATURALE 200g</t>
  </si>
  <si>
    <t>GRISSINI SESAMO NERO 200g</t>
  </si>
  <si>
    <t>GRISSINI MAIS BRAMATO 250g - LUNGHI</t>
  </si>
  <si>
    <t>BASE PIZZA DOUGHBOYS (12PZ) CONG</t>
  </si>
  <si>
    <t>230125</t>
  </si>
  <si>
    <t>220125</t>
  </si>
  <si>
    <t>040225</t>
  </si>
  <si>
    <t>030225</t>
  </si>
  <si>
    <t>060225</t>
  </si>
  <si>
    <t>050225</t>
  </si>
  <si>
    <t>CAMPAGNOLO 36PZ GELO</t>
  </si>
  <si>
    <t>070225</t>
  </si>
  <si>
    <t>130225</t>
  </si>
  <si>
    <t>120225</t>
  </si>
  <si>
    <t>110225</t>
  </si>
  <si>
    <t>100225</t>
  </si>
  <si>
    <t>140225</t>
  </si>
  <si>
    <t>CARBONELLO 45 PZ GELO</t>
  </si>
  <si>
    <t>LINGUA ROMANA PRETAGLIATA UK</t>
  </si>
  <si>
    <t>FOCACCIA GENOVESE GELO  6 PZ</t>
  </si>
  <si>
    <t>170225</t>
  </si>
  <si>
    <t>190225</t>
  </si>
  <si>
    <t>180225</t>
  </si>
  <si>
    <t>210225</t>
  </si>
  <si>
    <t>200225</t>
  </si>
  <si>
    <t>240225</t>
  </si>
  <si>
    <t>260225</t>
  </si>
  <si>
    <t>270225</t>
  </si>
  <si>
    <t>280225</t>
  </si>
  <si>
    <t>250225</t>
  </si>
  <si>
    <t>250325</t>
  </si>
  <si>
    <t>190325</t>
  </si>
  <si>
    <t>180325</t>
  </si>
  <si>
    <t>170325</t>
  </si>
  <si>
    <t>120325</t>
  </si>
  <si>
    <t>020425</t>
  </si>
  <si>
    <t>050325</t>
  </si>
  <si>
    <t>040325</t>
  </si>
  <si>
    <t>260325</t>
  </si>
  <si>
    <t>240325</t>
  </si>
  <si>
    <t>010425</t>
  </si>
  <si>
    <t>280325</t>
  </si>
  <si>
    <t>270325</t>
  </si>
  <si>
    <t>200325</t>
  </si>
  <si>
    <t>130325</t>
  </si>
  <si>
    <t>100325</t>
  </si>
  <si>
    <t>060325</t>
  </si>
  <si>
    <t>040425</t>
  </si>
  <si>
    <t>030425</t>
  </si>
  <si>
    <t>310325</t>
  </si>
  <si>
    <t>210325</t>
  </si>
  <si>
    <t>140325</t>
  </si>
  <si>
    <t>110325</t>
  </si>
  <si>
    <t>070325</t>
  </si>
  <si>
    <t>030325</t>
  </si>
  <si>
    <t>PANE BARBABIETOLA 36PZ GELO</t>
  </si>
  <si>
    <t>GRISSINI RUSTICI 200G</t>
  </si>
  <si>
    <t>220425</t>
  </si>
  <si>
    <t>150425</t>
  </si>
  <si>
    <t>090425</t>
  </si>
  <si>
    <t>080425</t>
  </si>
  <si>
    <t>140425</t>
  </si>
  <si>
    <t>230425</t>
  </si>
  <si>
    <t>110425</t>
  </si>
  <si>
    <t>100425</t>
  </si>
  <si>
    <t>160425</t>
  </si>
  <si>
    <t>PIZZICOTTA CLASSICA 20X30 AMBIENT</t>
  </si>
  <si>
    <t>PIZZICOTTA PINSA ROMANA AMBIENT 240g</t>
  </si>
  <si>
    <t>240425</t>
  </si>
  <si>
    <t>180425</t>
  </si>
  <si>
    <t>070425</t>
  </si>
  <si>
    <t>170425</t>
  </si>
  <si>
    <t>PINSA ROMANA GELO 240 G FREGA</t>
  </si>
  <si>
    <t>280425</t>
  </si>
  <si>
    <t>290425</t>
  </si>
  <si>
    <t>300425</t>
  </si>
  <si>
    <t>CHIOCCIOLA RISO E SOIA 36PZ GELO</t>
  </si>
  <si>
    <t>080525</t>
  </si>
  <si>
    <t>070525</t>
  </si>
  <si>
    <t>060525</t>
  </si>
  <si>
    <t>050525</t>
  </si>
  <si>
    <t>090525</t>
  </si>
  <si>
    <t>210525</t>
  </si>
  <si>
    <t>150525</t>
  </si>
  <si>
    <t>220525</t>
  </si>
  <si>
    <t>120525</t>
  </si>
  <si>
    <t>130525</t>
  </si>
  <si>
    <t>200525</t>
  </si>
  <si>
    <t>190525</t>
  </si>
  <si>
    <t>160525</t>
  </si>
  <si>
    <t>140525</t>
  </si>
  <si>
    <t>290525</t>
  </si>
  <si>
    <t>300525</t>
  </si>
  <si>
    <t>230525</t>
  </si>
  <si>
    <t>280525</t>
  </si>
  <si>
    <t>270525</t>
  </si>
  <si>
    <t>260525</t>
  </si>
  <si>
    <t>GRISSINI MAIS BRAMATO 400g</t>
  </si>
  <si>
    <t>250625</t>
  </si>
  <si>
    <t>180625</t>
  </si>
  <si>
    <t>110625</t>
  </si>
  <si>
    <t>060625</t>
  </si>
  <si>
    <t>120625</t>
  </si>
  <si>
    <t>030625</t>
  </si>
  <si>
    <t>050625</t>
  </si>
  <si>
    <t>190625</t>
  </si>
  <si>
    <t>270625</t>
  </si>
  <si>
    <t>260625</t>
  </si>
  <si>
    <t>240625</t>
  </si>
  <si>
    <t>230625</t>
  </si>
  <si>
    <t>210625</t>
  </si>
  <si>
    <t>200625</t>
  </si>
  <si>
    <t>170625</t>
  </si>
  <si>
    <t>160625</t>
  </si>
  <si>
    <t>030524</t>
  </si>
  <si>
    <t>140625</t>
  </si>
  <si>
    <t>130625</t>
  </si>
  <si>
    <t>090625</t>
  </si>
  <si>
    <t>070625</t>
  </si>
  <si>
    <t>040625</t>
  </si>
  <si>
    <t>100625</t>
  </si>
  <si>
    <t>GRISSINI RUSTICI 400G</t>
  </si>
  <si>
    <t>GRISSINI SESAMO NERO 400g</t>
  </si>
  <si>
    <t>090725</t>
  </si>
  <si>
    <t>PIZZICOTTA RETTANGOLARE NOIR 20X30</t>
  </si>
  <si>
    <t>020725</t>
  </si>
  <si>
    <t>080725</t>
  </si>
  <si>
    <t>010725</t>
  </si>
  <si>
    <t>110725</t>
  </si>
  <si>
    <t>120725</t>
  </si>
  <si>
    <t>100725</t>
  </si>
  <si>
    <t>070725</t>
  </si>
  <si>
    <t>050725</t>
  </si>
  <si>
    <t>040725</t>
  </si>
  <si>
    <t>030725</t>
  </si>
  <si>
    <t>300625</t>
  </si>
  <si>
    <t>280625</t>
  </si>
  <si>
    <t>GRISSINI AL NATURALE 400g</t>
  </si>
  <si>
    <t>GRISSINI MAIS BRAMATO 400g - LUNGHI</t>
  </si>
  <si>
    <t>CLASSICA BASE PIZZA  LOW SALT 29 CM FROZ</t>
  </si>
  <si>
    <t>170725</t>
  </si>
  <si>
    <t>190725</t>
  </si>
  <si>
    <t>160725</t>
  </si>
  <si>
    <t>150725</t>
  </si>
  <si>
    <t>140725</t>
  </si>
  <si>
    <t>180725</t>
  </si>
  <si>
    <t>280725</t>
  </si>
  <si>
    <t>220725</t>
  </si>
  <si>
    <t>300725</t>
  </si>
  <si>
    <t>240725</t>
  </si>
  <si>
    <t>290725</t>
  </si>
  <si>
    <t>310725</t>
  </si>
  <si>
    <t>250725</t>
  </si>
  <si>
    <t>210725</t>
  </si>
  <si>
    <t>230725</t>
  </si>
  <si>
    <t>260725</t>
  </si>
  <si>
    <t>050825</t>
  </si>
  <si>
    <t>120825</t>
  </si>
  <si>
    <t>070825</t>
  </si>
  <si>
    <t>060825</t>
  </si>
  <si>
    <t>130825</t>
  </si>
  <si>
    <t>110825</t>
  </si>
  <si>
    <t>090825</t>
  </si>
  <si>
    <t>080825</t>
  </si>
  <si>
    <t>040825</t>
  </si>
  <si>
    <t>020825</t>
  </si>
  <si>
    <t>010825</t>
  </si>
  <si>
    <t>290825</t>
  </si>
  <si>
    <t>260825</t>
  </si>
  <si>
    <t>190825</t>
  </si>
  <si>
    <t>210825</t>
  </si>
  <si>
    <t>200825</t>
  </si>
  <si>
    <t>250825</t>
  </si>
  <si>
    <t>280825</t>
  </si>
  <si>
    <t>270825</t>
  </si>
  <si>
    <t>230825</t>
  </si>
  <si>
    <t>220825</t>
  </si>
  <si>
    <t>180825</t>
  </si>
  <si>
    <t>250925</t>
  </si>
  <si>
    <t>160925</t>
  </si>
  <si>
    <t>180925</t>
  </si>
  <si>
    <t>090925</t>
  </si>
  <si>
    <t>150925</t>
  </si>
  <si>
    <t>110925</t>
  </si>
  <si>
    <t>240925</t>
  </si>
  <si>
    <t>170925</t>
  </si>
  <si>
    <t>010925</t>
  </si>
  <si>
    <t>300925</t>
  </si>
  <si>
    <t>290925</t>
  </si>
  <si>
    <t>260925</t>
  </si>
  <si>
    <t>230925</t>
  </si>
  <si>
    <t>190925</t>
  </si>
  <si>
    <t>120925</t>
  </si>
  <si>
    <t>100925</t>
  </si>
  <si>
    <t>080925</t>
  </si>
  <si>
    <t>050925</t>
  </si>
  <si>
    <t>020925</t>
  </si>
  <si>
    <t>PIZZICOTTA FOCACCINE AMBIENT 75g</t>
  </si>
  <si>
    <t>220925</t>
  </si>
  <si>
    <t>040925</t>
  </si>
  <si>
    <t>030925</t>
  </si>
  <si>
    <t>141025</t>
  </si>
  <si>
    <t>291025</t>
  </si>
  <si>
    <t>301025</t>
  </si>
  <si>
    <t>071025</t>
  </si>
  <si>
    <t>311025</t>
  </si>
  <si>
    <t>271025</t>
  </si>
  <si>
    <t>241025</t>
  </si>
  <si>
    <t>231025</t>
  </si>
  <si>
    <t>221025</t>
  </si>
  <si>
    <t>171025</t>
  </si>
  <si>
    <t>161025</t>
  </si>
  <si>
    <t>151025</t>
  </si>
  <si>
    <t>131025</t>
  </si>
  <si>
    <t>101025</t>
  </si>
  <si>
    <t>091025</t>
  </si>
  <si>
    <t>061025</t>
  </si>
  <si>
    <t>031025</t>
  </si>
  <si>
    <t>021025</t>
  </si>
  <si>
    <t>011025</t>
  </si>
  <si>
    <t>211025</t>
  </si>
  <si>
    <t>201025</t>
  </si>
  <si>
    <t>081025</t>
  </si>
  <si>
    <t>281025</t>
  </si>
  <si>
    <t>261125</t>
  </si>
  <si>
    <t>171125</t>
  </si>
  <si>
    <t>131125</t>
  </si>
  <si>
    <t>041125</t>
  </si>
  <si>
    <t>121125</t>
  </si>
  <si>
    <t>191125</t>
  </si>
  <si>
    <t>281125</t>
  </si>
  <si>
    <t>271125</t>
  </si>
  <si>
    <t>251125</t>
  </si>
  <si>
    <t>211125</t>
  </si>
  <si>
    <t>111125</t>
  </si>
  <si>
    <t>071125</t>
  </si>
  <si>
    <t>061125</t>
  </si>
  <si>
    <t>051125</t>
  </si>
  <si>
    <t>031125</t>
  </si>
  <si>
    <t>241125</t>
  </si>
  <si>
    <t>201125</t>
  </si>
  <si>
    <t>141125</t>
  </si>
  <si>
    <t>101125</t>
  </si>
  <si>
    <t>181125</t>
  </si>
  <si>
    <t>161225</t>
  </si>
  <si>
    <t>051225</t>
  </si>
  <si>
    <t>011225</t>
  </si>
  <si>
    <t>101225</t>
  </si>
  <si>
    <t>021225</t>
  </si>
  <si>
    <t>111225</t>
  </si>
  <si>
    <t>191225</t>
  </si>
  <si>
    <t>181225</t>
  </si>
  <si>
    <t>171225</t>
  </si>
  <si>
    <t>121225</t>
  </si>
  <si>
    <t>091225</t>
  </si>
  <si>
    <t>041225</t>
  </si>
  <si>
    <t>151225</t>
  </si>
  <si>
    <t>031225</t>
  </si>
  <si>
    <t>REFERENZA</t>
  </si>
  <si>
    <t>DATA PRODUZIONE</t>
  </si>
  <si>
    <t>TIPOLOGIA</t>
  </si>
  <si>
    <t>TURNO</t>
  </si>
  <si>
    <t>ORE TOT FASE</t>
  </si>
  <si>
    <t>BASE PIZZA TONDA (15PZ) CONG</t>
  </si>
  <si>
    <t>14/01/2025</t>
  </si>
  <si>
    <t>16/01/2025</t>
  </si>
  <si>
    <t>05/02/2025</t>
  </si>
  <si>
    <t>06/02/2025</t>
  </si>
  <si>
    <t>19/02/2025</t>
  </si>
  <si>
    <t>06/03/2025</t>
  </si>
  <si>
    <t>10/03/2025</t>
  </si>
  <si>
    <t>12/03/2025</t>
  </si>
  <si>
    <t>13/03/2025</t>
  </si>
  <si>
    <t>20/03/2025</t>
  </si>
  <si>
    <t>25/03/2025</t>
  </si>
  <si>
    <t>27/03/2025</t>
  </si>
  <si>
    <t>28/03/2025</t>
  </si>
  <si>
    <t>11/04/2025</t>
  </si>
  <si>
    <t>16/04/2025</t>
  </si>
  <si>
    <t>28/04/2025</t>
  </si>
  <si>
    <t>07/05/2025</t>
  </si>
  <si>
    <t>09/05/2025</t>
  </si>
  <si>
    <t>13/05/2025</t>
  </si>
  <si>
    <t>15/05/2025</t>
  </si>
  <si>
    <t>16/05/2025</t>
  </si>
  <si>
    <t>19/05/2025</t>
  </si>
  <si>
    <t>20/05/2025</t>
  </si>
  <si>
    <t>21/05/2025</t>
  </si>
  <si>
    <t>26/05/2025</t>
  </si>
  <si>
    <t>27/05/2025</t>
  </si>
  <si>
    <t>28/05/2025</t>
  </si>
  <si>
    <t>07/06/2025</t>
  </si>
  <si>
    <t>09/06/2025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</si>
  <si>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</si>
  <si>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</si>
  <si>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</si>
  <si>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</si>
  <si>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</si>
  <si>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</si>
  <si>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</si>
  <si>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</si>
  <si>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</si>
  <si>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</si>
  <si>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</si>
  <si>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</si>
  <si>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</si>
  <si>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</si>
  <si>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</si>
  <si>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</si>
  <si>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</si>
  <si>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</si>
  <si>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</si>
  <si>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</si>
  <si>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</si>
  <si>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</si>
  <si>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</si>
  <si>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</si>
  <si>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</si>
  <si>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</si>
  <si>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</si>
  <si>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</si>
  <si>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</si>
  <si>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19/07/2025</t>
  </si>
  <si>
    <t>21/07/2025</t>
  </si>
  <si>
    <t>25/07/2025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</si>
  <si>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</si>
  <si>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</si>
  <si>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</si>
  <si>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</si>
  <si>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</si>
  <si>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</si>
  <si>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</si>
  <si>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</si>
  <si>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</si>
  <si>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</si>
  <si>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</si>
  <si>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</si>
  <si>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</si>
  <si>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</si>
  <si>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</si>
  <si>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</si>
  <si>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</si>
  <si>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</si>
  <si>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</si>
  <si>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</si>
  <si>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</si>
  <si>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27/08/2025</t>
  </si>
  <si>
    <t>28/08/2025</t>
  </si>
  <si>
    <t>29/08/2025</t>
  </si>
  <si>
    <t>01/09/2025</t>
  </si>
  <si>
    <t>02/09/2025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</si>
  <si>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</si>
  <si>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</si>
  <si>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</si>
  <si>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</si>
  <si>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</si>
  <si>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</si>
  <si>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</si>
  <si>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</si>
  <si>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</si>
  <si>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</si>
  <si>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</si>
  <si>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</si>
  <si>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</si>
  <si>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</si>
  <si>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</si>
  <si>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</si>
  <si>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</si>
  <si>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</si>
  <si>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</si>
  <si>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</si>
  <si>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</si>
  <si>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</si>
  <si>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</si>
  <si>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</si>
  <si>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</si>
  <si>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</si>
  <si>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</si>
  <si>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</si>
  <si>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</si>
  <si>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</si>
  <si>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</si>
  <si>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</si>
  <si>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</si>
  <si>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</si>
  <si>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</si>
  <si>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</si>
  <si>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</si>
  <si>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</si>
  <si>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</si>
  <si>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</si>
  <si>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</si>
  <si>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</si>
  <si>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11/11/2025</t>
  </si>
  <si>
    <t>12/11/2025</t>
  </si>
  <si>
    <t>21/11/2025</t>
  </si>
  <si>
    <t>25/11/2025</t>
  </si>
  <si>
    <t>27/11/2025</t>
  </si>
  <si>
    <t>28/11/2025</t>
  </si>
  <si>
    <t>13/01/2025</t>
  </si>
  <si>
    <t xml:space="preserve">Base 20*40 400 g gelo pretagliata </t>
  </si>
  <si>
    <t>BASE PIZZA LINGUA ROMANA 55X19 GELO</t>
  </si>
  <si>
    <t>15/01/2025</t>
  </si>
  <si>
    <t>BASE PIZZA TONDA CLASSICA</t>
  </si>
  <si>
    <t xml:space="preserve">
PIZZICOTTA PINSA ROMANA 240 G </t>
  </si>
  <si>
    <t>BASE PIZZA NOIR MINI D.28 (8PZ)</t>
  </si>
  <si>
    <t>17/01/2025</t>
  </si>
  <si>
    <t>BASE PALASTYLE (8PZ)</t>
  </si>
  <si>
    <t>20/01/2025</t>
  </si>
  <si>
    <t>21/01/2025</t>
  </si>
  <si>
    <t>22/01/2025</t>
  </si>
  <si>
    <t>23/01/2025</t>
  </si>
  <si>
    <t>24/01/2025</t>
  </si>
  <si>
    <t>PINSA ROMANA OVALE ATM</t>
  </si>
  <si>
    <t>Focaccina diam 10 cm 75 g</t>
  </si>
  <si>
    <t>27/01/2025</t>
  </si>
  <si>
    <t>28/01/2025</t>
  </si>
  <si>
    <t>29/01/2025</t>
  </si>
  <si>
    <t>30/01/2025</t>
  </si>
  <si>
    <t>BASE PIZZA INTEGRALE RETT MINI</t>
  </si>
  <si>
    <t>31/01/2025</t>
  </si>
  <si>
    <t>PAN PIZZA</t>
  </si>
  <si>
    <t>03/02/2025</t>
  </si>
  <si>
    <t>04/02/2025</t>
  </si>
  <si>
    <t>07/02/2025</t>
  </si>
  <si>
    <t>10/02/2025</t>
  </si>
  <si>
    <t xml:space="preserve">Lingua romana pretagliata UK </t>
  </si>
  <si>
    <t>11/02/2025</t>
  </si>
  <si>
    <t>BASE PIZZA CLASSICA 25X55 GELO</t>
  </si>
  <si>
    <t>12/02/2025</t>
  </si>
  <si>
    <t>BASE PIZZA TONDA D28 15PZ GELO</t>
  </si>
  <si>
    <t>13/02/2025</t>
  </si>
  <si>
    <t>14/02/2025</t>
  </si>
  <si>
    <t>17/02/2025</t>
  </si>
  <si>
    <t>18/02/2025</t>
  </si>
  <si>
    <t>BASE PIZZA 15X30 16PZ GELO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</si>
  <si>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</si>
  <si>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</si>
  <si>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</si>
  <si>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</si>
  <si>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</si>
  <si>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</si>
  <si>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</si>
  <si>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BASE PIZZA 30X40 16PZ GELO</t>
  </si>
  <si>
    <t>03/03/2025</t>
  </si>
  <si>
    <t>04/03/2025</t>
  </si>
  <si>
    <t>05/03/2025</t>
  </si>
  <si>
    <t>07/03/2025</t>
  </si>
  <si>
    <t>11/03/2025</t>
  </si>
  <si>
    <t>14/03/2025</t>
  </si>
  <si>
    <t>17/03/2025</t>
  </si>
  <si>
    <t>18/03/2025</t>
  </si>
  <si>
    <t>19/03/2025</t>
  </si>
  <si>
    <t>21/03/2025</t>
  </si>
  <si>
    <t>24/03/2025</t>
  </si>
  <si>
    <t>BASE VENERE 36 PZ CONG</t>
  </si>
  <si>
    <t>BASE PALASTYLE (10PZ) CONG</t>
  </si>
  <si>
    <t>26/03/2025</t>
  </si>
  <si>
    <t>Pizzicotta Napoletana</t>
  </si>
  <si>
    <t>31/03/2025</t>
  </si>
  <si>
    <t>01/04/2025</t>
  </si>
  <si>
    <t>02/04/2025</t>
  </si>
  <si>
    <t>03/04/2025</t>
  </si>
  <si>
    <t>04/04/2025</t>
  </si>
  <si>
    <t>07/04/2025</t>
  </si>
  <si>
    <t>Pizzicotta Tasca</t>
  </si>
  <si>
    <t>08/04/2025</t>
  </si>
  <si>
    <t>FOCACCIA GENOVESE PERTAGLIATA GELO  8 PZ</t>
  </si>
  <si>
    <t>09/04/2025</t>
  </si>
  <si>
    <t>10/04/2025</t>
  </si>
  <si>
    <t>14/04/2025</t>
  </si>
  <si>
    <t>15/04/2025</t>
  </si>
  <si>
    <t>17/04/2025</t>
  </si>
  <si>
    <t>18/04/2025</t>
  </si>
  <si>
    <t>22/04/2025</t>
  </si>
  <si>
    <t>23/04/2025</t>
  </si>
  <si>
    <t>PIZZICOTTA 20x30 AMBIENT</t>
  </si>
  <si>
    <t>24/04/2025</t>
  </si>
  <si>
    <t>PIZZICOTTA PINSA ROMANA AMBIENT</t>
  </si>
  <si>
    <t>29/04/2025</t>
  </si>
  <si>
    <t>30/04/2025</t>
  </si>
  <si>
    <t>05/05/2025</t>
  </si>
  <si>
    <t>06/05/2025</t>
  </si>
  <si>
    <t>08/05/2025</t>
  </si>
  <si>
    <t>12/05/2025</t>
  </si>
  <si>
    <t>14/05/2025</t>
  </si>
  <si>
    <t>22/05/2025</t>
  </si>
  <si>
    <t>23/05/2025</t>
  </si>
  <si>
    <t>29/05/2025</t>
  </si>
  <si>
    <t>30/05/2025</t>
  </si>
  <si>
    <t>03/06/2025</t>
  </si>
  <si>
    <t>04/06/2025</t>
  </si>
  <si>
    <t>05/06/2025</t>
  </si>
  <si>
    <t>06/06/2025</t>
  </si>
  <si>
    <t>10/06/2025</t>
  </si>
  <si>
    <t>28/06/2025</t>
  </si>
  <si>
    <t>30/06/2025</t>
  </si>
  <si>
    <t>BASE PIZZA 29 cm low salt  CONG</t>
  </si>
  <si>
    <t>09/07/2025</t>
  </si>
  <si>
    <t>18/07/2025</t>
  </si>
  <si>
    <t>22/07/2025</t>
  </si>
  <si>
    <t>23/07/2025</t>
  </si>
  <si>
    <t>24/07/2025</t>
  </si>
  <si>
    <t>26/07/2025</t>
  </si>
  <si>
    <t>28/07/2025</t>
  </si>
  <si>
    <t>26/08/2025</t>
  </si>
  <si>
    <t>03/09/2025</t>
  </si>
  <si>
    <t>PIZZICOTTA FOCACCINE AMBIENT 75g </t>
  </si>
  <si>
    <t>22/09/2025</t>
  </si>
  <si>
    <t>08/10/2025</t>
  </si>
  <si>
    <t>21/10/2025</t>
  </si>
  <si>
    <t>28/10/2025</t>
  </si>
  <si>
    <t>10/11/2025</t>
  </si>
  <si>
    <t>13/11/2025</t>
  </si>
  <si>
    <t>14/11/2025</t>
  </si>
  <si>
    <t>17/11/2025</t>
  </si>
  <si>
    <t>18/11/2025</t>
  </si>
  <si>
    <t>19/11/2025</t>
  </si>
  <si>
    <t>20/11/2025</t>
  </si>
  <si>
    <t>24/11/2025</t>
  </si>
  <si>
    <t>26/11/2025</t>
  </si>
  <si>
    <t/>
  </si>
  <si>
    <t>IN BASE AI DATI DI PRODUTTIVITA' E ALLE ORE CARICATE PROPONIMI UN N. PZ PER LOTTO CON 11 PAX 8 ORE</t>
  </si>
  <si>
    <t>DATO UN CODICE DIMMI IL LOTTO CCST EFFETTIVO PER L'ANNO 2025</t>
  </si>
  <si>
    <t>QUALE E' LA COPPIA Più PRODUTTIVA? (CASO IN CONSIDERAZIONE: SOLO 2 REFERENZE PER GIORNATA)</t>
  </si>
  <si>
    <t>civ in eur/lotto ccst</t>
  </si>
  <si>
    <t>COD. PROD</t>
  </si>
  <si>
    <t>ORE STD</t>
  </si>
  <si>
    <t>PZ STD</t>
  </si>
  <si>
    <t>CIV CCST</t>
  </si>
  <si>
    <t>COST FISS</t>
  </si>
  <si>
    <t xml:space="preserve">MARGINE </t>
  </si>
  <si>
    <t>IN BASE AI DATI DI PRODUTTIVITA' E ALLE ORE CARICATE PROPONIMI UN N. PZ PER LOTTO CON</t>
  </si>
  <si>
    <t>primi_5 = risultato.head(5)
ultimi_5 = risultato.tail(5)
# tutto quello che sta in mezzo
mezzo = risultato.iloc[5:-5]
output = {
    "PRIMI 5": primi_5,
    "MEZZO": mezzo,
    "ULTIMI 5": ultimi_5
}
output</t>
  </si>
  <si>
    <t>0,75 - 1</t>
  </si>
  <si>
    <t>FORTE</t>
  </si>
  <si>
    <t>0,55 - 075</t>
  </si>
  <si>
    <t>ALTA (AFFIDABILE)</t>
  </si>
  <si>
    <t>0,35 - 0,55</t>
  </si>
  <si>
    <t>MEDIA (INCERTA MA VALIDA)</t>
  </si>
  <si>
    <t>0,15 - 0,35</t>
  </si>
  <si>
    <t>DEBOLE</t>
  </si>
  <si>
    <t>0 - 0,15</t>
  </si>
  <si>
    <t>NON AFFIDABILE</t>
  </si>
  <si>
    <t>0,8 - 1</t>
  </si>
  <si>
    <t>ECCELLENTE</t>
  </si>
  <si>
    <t>0,65 - 0,8</t>
  </si>
  <si>
    <t>MOLTO BUONO</t>
  </si>
  <si>
    <t>0,45 - 0,65</t>
  </si>
  <si>
    <t>MEDIO</t>
  </si>
  <si>
    <t>0,25 - 0,45</t>
  </si>
  <si>
    <t>0 - 0,25</t>
  </si>
  <si>
    <t>MOLTO DEBOLE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</si>
</sst>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/>
    <xf numFmtId="0" fontId="0" fillId="0" borderId="0" xfId="0" quotePrefix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2" fontId="0" fillId="0" borderId="0" xfId="0" applyNumberFormat="1"/>
    <xf numFmtId="0" fontId="0" fillId="2" borderId="0" xfId="0" applyFill="1"/>
    <xf numFmtId="10" fontId="0" fillId="0" borderId="0" xfId="1" applyNumberFormat="1" applyFont="1"/>
    <xf numFmtId="169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2">
    <cellStyle name="Normale" xfId="0" builtinId="0"/>
    <cellStyle name="Percentuale" xfId="1" builtinId="5"/>
  </cellStyles>
  <dxfs count="3"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9</v>
    <v>18</v>
  </rv>
  <rv s="1">
    <v>12</v>
    <v>arrayPreview</v>
    <v>0</v>
  </rv>
  <rv s="1">
    <v>12</v>
    <v>Python_str</v>
    <v>0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C67E-D78C-4C61-AA7C-9E2A543B21C6}">
  <dimension ref="A1:O3661"/>
  <sheetViews>
    <sheetView topLeftCell="A28" workbookViewId="0">
      <selection activeCell="C16" sqref="C16"/>
    </sheetView>
  </sheetViews>
  <sheetFormatPr defaultRowHeight="15" x14ac:dyDescent="0.25"/>
  <cols>
    <col min="9" max="9" width="13.140625" customWidth="1"/>
    <col min="10" max="10" width="18.42578125" customWidth="1"/>
    <col min="11" max="11" width="13" customWidth="1"/>
    <col min="12" max="12" width="25.42578125" customWidth="1"/>
    <col min="13" max="13" width="12.5703125" customWidth="1"/>
    <col min="14" max="14" width="12.28515625" customWidth="1"/>
    <col min="16" max="16" width="1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5">
      <c r="A2">
        <v>2283</v>
      </c>
      <c r="B2" t="s">
        <v>5</v>
      </c>
      <c r="C2">
        <v>856</v>
      </c>
      <c r="D2" t="s">
        <v>6</v>
      </c>
      <c r="E2" t="s">
        <v>7</v>
      </c>
    </row>
    <row r="3" spans="1:12" x14ac:dyDescent="0.25">
      <c r="A3">
        <v>2283</v>
      </c>
      <c r="B3" t="s">
        <v>5</v>
      </c>
      <c r="C3">
        <v>832</v>
      </c>
      <c r="D3" t="s">
        <v>8</v>
      </c>
      <c r="E3" t="s">
        <v>7</v>
      </c>
    </row>
    <row r="4" spans="1:12" x14ac:dyDescent="0.25">
      <c r="A4">
        <v>2285</v>
      </c>
      <c r="B4" t="s">
        <v>9</v>
      </c>
      <c r="C4">
        <v>608</v>
      </c>
      <c r="D4" t="s">
        <v>6</v>
      </c>
      <c r="E4" t="s">
        <v>7</v>
      </c>
    </row>
    <row r="5" spans="1:12" x14ac:dyDescent="0.25">
      <c r="A5">
        <v>2543</v>
      </c>
      <c r="B5" t="s">
        <v>10</v>
      </c>
      <c r="C5">
        <v>656</v>
      </c>
      <c r="D5" t="s">
        <v>6</v>
      </c>
      <c r="E5" t="s">
        <v>7</v>
      </c>
    </row>
    <row r="6" spans="1:12" x14ac:dyDescent="0.25">
      <c r="A6">
        <v>2553</v>
      </c>
      <c r="B6" t="s">
        <v>11</v>
      </c>
      <c r="C6">
        <v>960</v>
      </c>
      <c r="D6" t="s">
        <v>12</v>
      </c>
      <c r="E6" t="s">
        <v>7</v>
      </c>
    </row>
    <row r="7" spans="1:12" x14ac:dyDescent="0.25">
      <c r="A7">
        <v>2735</v>
      </c>
      <c r="B7" t="s">
        <v>13</v>
      </c>
      <c r="C7">
        <v>3700</v>
      </c>
      <c r="D7" t="s">
        <v>14</v>
      </c>
      <c r="E7" t="s">
        <v>15</v>
      </c>
    </row>
    <row r="8" spans="1:12" x14ac:dyDescent="0.25">
      <c r="A8">
        <v>2738</v>
      </c>
      <c r="B8" t="s">
        <v>16</v>
      </c>
      <c r="C8">
        <v>8730</v>
      </c>
      <c r="D8" t="s">
        <v>17</v>
      </c>
      <c r="E8" t="s">
        <v>15</v>
      </c>
    </row>
    <row r="9" spans="1:12" x14ac:dyDescent="0.25">
      <c r="A9">
        <v>2738</v>
      </c>
      <c r="B9" t="s">
        <v>16</v>
      </c>
      <c r="C9">
        <v>675</v>
      </c>
      <c r="D9" t="s">
        <v>14</v>
      </c>
      <c r="E9" t="s">
        <v>15</v>
      </c>
      <c r="I9" t="e" cm="1" vm="1">
        <f t="array" ref="I9">_xlfn._xlws.PY(0,1,A1:E1000)</f>
        <v>#VALUE!</v>
      </c>
      <c r="J9" t="e" cm="1" vm="2">
        <f t="array" ref="J9">_FV(I9,"arrayPreview")</f>
        <v>#VALUE!</v>
      </c>
      <c r="K9" t="e" cm="1" vm="3">
        <f t="array" ref="K9">_xlfn._DF_Python_str(I9)</f>
        <v>#VALUE!</v>
      </c>
    </row>
    <row r="10" spans="1:12" x14ac:dyDescent="0.25">
      <c r="A10">
        <v>2738</v>
      </c>
      <c r="B10" t="s">
        <v>16</v>
      </c>
      <c r="C10">
        <v>2835</v>
      </c>
      <c r="D10" t="s">
        <v>18</v>
      </c>
      <c r="E10" t="s">
        <v>15</v>
      </c>
    </row>
    <row r="11" spans="1:12" x14ac:dyDescent="0.25">
      <c r="A11">
        <v>2738</v>
      </c>
      <c r="B11" t="s">
        <v>16</v>
      </c>
      <c r="C11">
        <v>2130</v>
      </c>
      <c r="D11" t="s">
        <v>19</v>
      </c>
      <c r="E11" t="s">
        <v>15</v>
      </c>
      <c r="I11" t="e" cm="1" vm="1">
        <f t="array" ref="I11">_xlfn._xlws.PY(1,1,A1:E1000)</f>
        <v>#VALUE!</v>
      </c>
    </row>
    <row r="12" spans="1:12" x14ac:dyDescent="0.25">
      <c r="A12">
        <v>2738</v>
      </c>
      <c r="B12" t="s">
        <v>16</v>
      </c>
      <c r="C12">
        <v>1950</v>
      </c>
      <c r="D12" t="s">
        <v>20</v>
      </c>
      <c r="E12" t="s">
        <v>15</v>
      </c>
    </row>
    <row r="13" spans="1:12" x14ac:dyDescent="0.25">
      <c r="A13">
        <v>2738</v>
      </c>
      <c r="B13" t="s">
        <v>16</v>
      </c>
      <c r="C13">
        <v>1215</v>
      </c>
      <c r="D13" t="s">
        <v>12</v>
      </c>
      <c r="E13" t="s">
        <v>15</v>
      </c>
      <c r="I13" t="e" cm="1" vm="1">
        <f t="array" ref="I13">_xlfn._xlws.PY(2,1,A1:E1000)</f>
        <v>#VALUE!</v>
      </c>
    </row>
    <row r="14" spans="1:12" x14ac:dyDescent="0.25">
      <c r="A14">
        <v>2738</v>
      </c>
      <c r="B14" t="s">
        <v>16</v>
      </c>
      <c r="C14">
        <v>720</v>
      </c>
      <c r="D14" t="s">
        <v>21</v>
      </c>
      <c r="E14" t="s">
        <v>15</v>
      </c>
      <c r="I14" s="1" t="s">
        <v>699</v>
      </c>
    </row>
    <row r="15" spans="1:12" x14ac:dyDescent="0.25">
      <c r="A15">
        <v>2738</v>
      </c>
      <c r="B15" t="s">
        <v>16</v>
      </c>
      <c r="C15">
        <v>1290</v>
      </c>
      <c r="D15" t="s">
        <v>22</v>
      </c>
      <c r="E15" t="s">
        <v>15</v>
      </c>
      <c r="I15" t="e" cm="1" vm="1">
        <f t="array" ref="I15">_xlfn._xlws.PY(3,1,A1:E1000)</f>
        <v>#VALUE!</v>
      </c>
      <c r="J15" t="e" cm="1" vm="2">
        <f t="array" ref="J15">_FV(I15,"arrayPreview")</f>
        <v>#VALUE!</v>
      </c>
    </row>
    <row r="16" spans="1:12" x14ac:dyDescent="0.25">
      <c r="A16">
        <v>2738</v>
      </c>
      <c r="B16" t="s">
        <v>16</v>
      </c>
      <c r="C16">
        <v>720</v>
      </c>
      <c r="D16" t="s">
        <v>23</v>
      </c>
      <c r="E16" t="s">
        <v>15</v>
      </c>
      <c r="K16" s="1"/>
      <c r="L16" s="1"/>
    </row>
    <row r="17" spans="1:10" x14ac:dyDescent="0.25">
      <c r="A17">
        <v>4808</v>
      </c>
      <c r="B17" t="s">
        <v>24</v>
      </c>
      <c r="C17">
        <v>312</v>
      </c>
      <c r="D17" t="s">
        <v>12</v>
      </c>
      <c r="E17" t="s">
        <v>25</v>
      </c>
    </row>
    <row r="18" spans="1:10" x14ac:dyDescent="0.25">
      <c r="A18">
        <v>4808</v>
      </c>
      <c r="B18" t="s">
        <v>24</v>
      </c>
      <c r="C18">
        <v>248</v>
      </c>
      <c r="D18" t="s">
        <v>12</v>
      </c>
      <c r="E18" t="s">
        <v>25</v>
      </c>
    </row>
    <row r="19" spans="1:10" x14ac:dyDescent="0.25">
      <c r="A19">
        <v>4855</v>
      </c>
      <c r="B19" t="s">
        <v>26</v>
      </c>
      <c r="C19">
        <v>5080</v>
      </c>
      <c r="D19" t="s">
        <v>14</v>
      </c>
      <c r="E19" t="s">
        <v>25</v>
      </c>
    </row>
    <row r="20" spans="1:10" x14ac:dyDescent="0.25">
      <c r="A20">
        <v>9000</v>
      </c>
      <c r="B20" t="s">
        <v>27</v>
      </c>
      <c r="C20">
        <v>4320</v>
      </c>
      <c r="D20" t="s">
        <v>21</v>
      </c>
      <c r="E20" t="s">
        <v>28</v>
      </c>
    </row>
    <row r="21" spans="1:10" x14ac:dyDescent="0.25">
      <c r="A21">
        <v>9000</v>
      </c>
      <c r="B21" t="s">
        <v>27</v>
      </c>
      <c r="C21">
        <v>6480</v>
      </c>
      <c r="D21" t="s">
        <v>22</v>
      </c>
      <c r="E21" t="s">
        <v>28</v>
      </c>
    </row>
    <row r="22" spans="1:10" x14ac:dyDescent="0.25">
      <c r="A22">
        <v>9001</v>
      </c>
      <c r="B22" t="s">
        <v>29</v>
      </c>
      <c r="C22">
        <v>6084</v>
      </c>
      <c r="D22" t="s">
        <v>30</v>
      </c>
      <c r="E22" t="s">
        <v>28</v>
      </c>
    </row>
    <row r="23" spans="1:10" x14ac:dyDescent="0.25">
      <c r="A23">
        <v>9001</v>
      </c>
      <c r="B23" t="s">
        <v>29</v>
      </c>
      <c r="C23">
        <v>5184</v>
      </c>
      <c r="D23" t="s">
        <v>19</v>
      </c>
      <c r="E23" t="s">
        <v>28</v>
      </c>
    </row>
    <row r="24" spans="1:10" x14ac:dyDescent="0.25">
      <c r="A24">
        <v>9001</v>
      </c>
      <c r="B24" t="s">
        <v>29</v>
      </c>
      <c r="C24">
        <v>4896</v>
      </c>
      <c r="D24" t="s">
        <v>20</v>
      </c>
      <c r="E24" t="s">
        <v>28</v>
      </c>
    </row>
    <row r="25" spans="1:10" x14ac:dyDescent="0.25">
      <c r="A25">
        <v>9001</v>
      </c>
      <c r="B25" t="s">
        <v>29</v>
      </c>
      <c r="C25">
        <v>4608</v>
      </c>
      <c r="D25" t="s">
        <v>6</v>
      </c>
      <c r="E25" t="s">
        <v>28</v>
      </c>
    </row>
    <row r="26" spans="1:10" x14ac:dyDescent="0.25">
      <c r="A26">
        <v>9001</v>
      </c>
      <c r="B26" t="s">
        <v>29</v>
      </c>
      <c r="C26">
        <v>2052</v>
      </c>
      <c r="D26" t="s">
        <v>21</v>
      </c>
      <c r="E26" t="s">
        <v>28</v>
      </c>
    </row>
    <row r="27" spans="1:10" x14ac:dyDescent="0.25">
      <c r="A27">
        <v>9001</v>
      </c>
      <c r="B27" t="s">
        <v>29</v>
      </c>
      <c r="C27">
        <v>1548</v>
      </c>
      <c r="D27" t="s">
        <v>22</v>
      </c>
      <c r="E27" t="s">
        <v>28</v>
      </c>
    </row>
    <row r="28" spans="1:10" x14ac:dyDescent="0.25">
      <c r="A28">
        <v>9001</v>
      </c>
      <c r="B28" t="s">
        <v>29</v>
      </c>
      <c r="C28">
        <v>3780</v>
      </c>
      <c r="D28" t="s">
        <v>31</v>
      </c>
      <c r="E28" t="s">
        <v>28</v>
      </c>
    </row>
    <row r="29" spans="1:10" x14ac:dyDescent="0.25">
      <c r="A29">
        <v>9001</v>
      </c>
      <c r="B29" t="s">
        <v>29</v>
      </c>
      <c r="C29">
        <v>2304</v>
      </c>
      <c r="D29" t="s">
        <v>8</v>
      </c>
      <c r="E29" t="s">
        <v>28</v>
      </c>
      <c r="I29" t="e" cm="1" vm="1">
        <f t="array" ref="I29">_xlfn._xlws.PY(4,1)</f>
        <v>#VALUE!</v>
      </c>
      <c r="J29" t="e" cm="1" vm="2">
        <f t="array" ref="J29">_FV(I29,"arrayPreview")</f>
        <v>#VALUE!</v>
      </c>
    </row>
    <row r="30" spans="1:10" x14ac:dyDescent="0.25">
      <c r="A30">
        <v>9003</v>
      </c>
      <c r="B30" t="s">
        <v>32</v>
      </c>
      <c r="C30">
        <v>2376</v>
      </c>
      <c r="D30" t="s">
        <v>30</v>
      </c>
      <c r="E30" t="s">
        <v>28</v>
      </c>
    </row>
    <row r="31" spans="1:10" x14ac:dyDescent="0.25">
      <c r="A31">
        <v>9003</v>
      </c>
      <c r="B31" t="s">
        <v>32</v>
      </c>
      <c r="C31">
        <v>2304</v>
      </c>
      <c r="D31" t="s">
        <v>19</v>
      </c>
      <c r="E31" t="s">
        <v>28</v>
      </c>
    </row>
    <row r="32" spans="1:10" x14ac:dyDescent="0.25">
      <c r="A32">
        <v>9003</v>
      </c>
      <c r="B32" t="s">
        <v>32</v>
      </c>
      <c r="C32">
        <v>4284</v>
      </c>
      <c r="D32" t="s">
        <v>6</v>
      </c>
      <c r="E32" t="s">
        <v>28</v>
      </c>
    </row>
    <row r="33" spans="1:15" x14ac:dyDescent="0.25">
      <c r="A33">
        <v>9003</v>
      </c>
      <c r="B33" t="s">
        <v>32</v>
      </c>
      <c r="C33">
        <v>4896</v>
      </c>
      <c r="D33" t="s">
        <v>21</v>
      </c>
      <c r="E33" t="s">
        <v>28</v>
      </c>
    </row>
    <row r="34" spans="1:15" x14ac:dyDescent="0.25">
      <c r="A34">
        <v>9003</v>
      </c>
      <c r="B34" t="s">
        <v>32</v>
      </c>
      <c r="C34">
        <v>1620</v>
      </c>
      <c r="D34" t="s">
        <v>22</v>
      </c>
      <c r="E34" t="s">
        <v>28</v>
      </c>
    </row>
    <row r="35" spans="1:15" x14ac:dyDescent="0.25">
      <c r="A35">
        <v>9003</v>
      </c>
      <c r="B35" t="s">
        <v>32</v>
      </c>
      <c r="C35">
        <v>2304</v>
      </c>
      <c r="D35" t="s">
        <v>31</v>
      </c>
      <c r="E35" t="s">
        <v>28</v>
      </c>
    </row>
    <row r="36" spans="1:15" x14ac:dyDescent="0.25">
      <c r="A36">
        <v>9003</v>
      </c>
      <c r="B36" t="s">
        <v>32</v>
      </c>
      <c r="C36">
        <v>2304</v>
      </c>
      <c r="D36" t="s">
        <v>8</v>
      </c>
      <c r="E36" t="s">
        <v>28</v>
      </c>
      <c r="N36" s="1" t="s">
        <v>151</v>
      </c>
    </row>
    <row r="37" spans="1:15" x14ac:dyDescent="0.25">
      <c r="A37">
        <v>9004</v>
      </c>
      <c r="B37" t="s">
        <v>33</v>
      </c>
      <c r="C37">
        <v>1620</v>
      </c>
      <c r="D37" t="s">
        <v>22</v>
      </c>
      <c r="E37" t="s">
        <v>28</v>
      </c>
      <c r="N37" t="e" cm="1" vm="1">
        <f t="array" ref="N37">_xlfn._xlws.PY(5,1,A1:E1000)</f>
        <v>#VALUE!</v>
      </c>
      <c r="O37" t="e" cm="1" vm="2">
        <f t="array" ref="O37">_FV(N37,"arrayPreview")</f>
        <v>#VALUE!</v>
      </c>
    </row>
    <row r="38" spans="1:15" x14ac:dyDescent="0.25">
      <c r="A38">
        <v>9005</v>
      </c>
      <c r="B38" t="s">
        <v>34</v>
      </c>
      <c r="C38">
        <v>936</v>
      </c>
      <c r="D38" t="s">
        <v>31</v>
      </c>
      <c r="E38" t="s">
        <v>28</v>
      </c>
    </row>
    <row r="39" spans="1:15" x14ac:dyDescent="0.25">
      <c r="A39">
        <v>9013</v>
      </c>
      <c r="B39" t="s">
        <v>35</v>
      </c>
      <c r="C39">
        <v>2592</v>
      </c>
      <c r="D39" t="s">
        <v>30</v>
      </c>
      <c r="E39" t="s">
        <v>28</v>
      </c>
    </row>
    <row r="40" spans="1:15" x14ac:dyDescent="0.25">
      <c r="A40">
        <v>9013</v>
      </c>
      <c r="B40" t="s">
        <v>35</v>
      </c>
      <c r="C40">
        <v>1728</v>
      </c>
      <c r="D40" t="s">
        <v>31</v>
      </c>
      <c r="E40" t="s">
        <v>28</v>
      </c>
      <c r="N40" s="1" t="s">
        <v>150</v>
      </c>
    </row>
    <row r="41" spans="1:15" x14ac:dyDescent="0.25">
      <c r="A41">
        <v>9018</v>
      </c>
      <c r="B41" t="s">
        <v>36</v>
      </c>
      <c r="C41">
        <v>828</v>
      </c>
      <c r="D41" t="s">
        <v>8</v>
      </c>
      <c r="E41" t="s">
        <v>28</v>
      </c>
      <c r="N41" t="e" cm="1" vm="1">
        <f t="array" ref="N41">_xlfn._xlws.PY(6,1,A1:E1000)</f>
        <v>#VALUE!</v>
      </c>
      <c r="O41" t="e" cm="1" vm="2">
        <f t="array" ref="O41">_FV(N41,"arrayPreview")</f>
        <v>#VALUE!</v>
      </c>
    </row>
    <row r="42" spans="1:15" x14ac:dyDescent="0.25">
      <c r="A42">
        <v>9019</v>
      </c>
      <c r="B42" t="s">
        <v>37</v>
      </c>
      <c r="C42">
        <v>2592</v>
      </c>
      <c r="D42" t="s">
        <v>19</v>
      </c>
      <c r="E42" t="s">
        <v>28</v>
      </c>
    </row>
    <row r="43" spans="1:15" x14ac:dyDescent="0.25">
      <c r="A43">
        <v>9021</v>
      </c>
      <c r="B43" t="s">
        <v>38</v>
      </c>
      <c r="C43">
        <v>2736</v>
      </c>
      <c r="D43" t="s">
        <v>19</v>
      </c>
      <c r="E43" t="s">
        <v>28</v>
      </c>
    </row>
    <row r="44" spans="1:15" x14ac:dyDescent="0.25">
      <c r="A44">
        <v>9021</v>
      </c>
      <c r="B44" t="s">
        <v>38</v>
      </c>
      <c r="C44">
        <v>720</v>
      </c>
      <c r="D44" t="s">
        <v>21</v>
      </c>
      <c r="E44" t="s">
        <v>28</v>
      </c>
    </row>
    <row r="45" spans="1:15" x14ac:dyDescent="0.25">
      <c r="A45">
        <v>9023</v>
      </c>
      <c r="B45" t="s">
        <v>39</v>
      </c>
      <c r="C45">
        <v>2304</v>
      </c>
      <c r="D45" t="s">
        <v>22</v>
      </c>
      <c r="E45" t="s">
        <v>28</v>
      </c>
    </row>
    <row r="46" spans="1:15" x14ac:dyDescent="0.25">
      <c r="A46">
        <v>9025</v>
      </c>
      <c r="B46" t="s">
        <v>40</v>
      </c>
      <c r="C46">
        <v>180</v>
      </c>
      <c r="D46" t="s">
        <v>21</v>
      </c>
      <c r="E46" t="s">
        <v>28</v>
      </c>
    </row>
    <row r="47" spans="1:15" x14ac:dyDescent="0.25">
      <c r="A47">
        <v>9029</v>
      </c>
      <c r="B47" t="s">
        <v>41</v>
      </c>
      <c r="C47">
        <v>468</v>
      </c>
      <c r="D47" t="s">
        <v>18</v>
      </c>
      <c r="E47" t="s">
        <v>28</v>
      </c>
    </row>
    <row r="48" spans="1:15" x14ac:dyDescent="0.25">
      <c r="A48">
        <v>9029</v>
      </c>
      <c r="B48" t="s">
        <v>41</v>
      </c>
      <c r="C48">
        <v>1584</v>
      </c>
      <c r="D48" t="s">
        <v>20</v>
      </c>
      <c r="E48" t="s">
        <v>28</v>
      </c>
    </row>
    <row r="49" spans="1:5" x14ac:dyDescent="0.25">
      <c r="A49">
        <v>9031</v>
      </c>
      <c r="B49" t="s">
        <v>42</v>
      </c>
      <c r="C49">
        <v>3768</v>
      </c>
      <c r="D49" t="s">
        <v>12</v>
      </c>
      <c r="E49" t="s">
        <v>43</v>
      </c>
    </row>
    <row r="50" spans="1:5" x14ac:dyDescent="0.25">
      <c r="A50">
        <v>9031</v>
      </c>
      <c r="B50" t="s">
        <v>42</v>
      </c>
      <c r="C50">
        <v>1344</v>
      </c>
      <c r="D50" t="s">
        <v>8</v>
      </c>
      <c r="E50" t="s">
        <v>43</v>
      </c>
    </row>
    <row r="51" spans="1:5" x14ac:dyDescent="0.25">
      <c r="A51">
        <v>9053</v>
      </c>
      <c r="B51" t="s">
        <v>44</v>
      </c>
      <c r="C51">
        <v>660</v>
      </c>
      <c r="D51" t="s">
        <v>18</v>
      </c>
      <c r="E51" t="s">
        <v>45</v>
      </c>
    </row>
    <row r="52" spans="1:5" x14ac:dyDescent="0.25">
      <c r="A52">
        <v>9053</v>
      </c>
      <c r="B52" t="s">
        <v>44</v>
      </c>
      <c r="C52">
        <v>640</v>
      </c>
      <c r="D52" t="s">
        <v>19</v>
      </c>
      <c r="E52" t="s">
        <v>45</v>
      </c>
    </row>
    <row r="53" spans="1:5" x14ac:dyDescent="0.25">
      <c r="A53">
        <v>9053</v>
      </c>
      <c r="B53" t="s">
        <v>44</v>
      </c>
      <c r="C53">
        <v>1810</v>
      </c>
      <c r="D53" t="s">
        <v>21</v>
      </c>
      <c r="E53" t="s">
        <v>45</v>
      </c>
    </row>
    <row r="54" spans="1:5" x14ac:dyDescent="0.25">
      <c r="A54">
        <v>9064</v>
      </c>
      <c r="B54" t="s">
        <v>46</v>
      </c>
      <c r="C54">
        <v>200</v>
      </c>
      <c r="D54" t="s">
        <v>22</v>
      </c>
      <c r="E54" t="s">
        <v>45</v>
      </c>
    </row>
    <row r="55" spans="1:5" x14ac:dyDescent="0.25">
      <c r="A55">
        <v>9064</v>
      </c>
      <c r="B55" t="s">
        <v>46</v>
      </c>
      <c r="C55">
        <v>340</v>
      </c>
      <c r="D55" t="s">
        <v>22</v>
      </c>
      <c r="E55" t="s">
        <v>45</v>
      </c>
    </row>
    <row r="56" spans="1:5" x14ac:dyDescent="0.25">
      <c r="A56">
        <v>9096</v>
      </c>
      <c r="B56" t="s">
        <v>47</v>
      </c>
      <c r="C56">
        <v>80</v>
      </c>
      <c r="D56" t="s">
        <v>23</v>
      </c>
      <c r="E56" t="s">
        <v>43</v>
      </c>
    </row>
    <row r="57" spans="1:5" x14ac:dyDescent="0.25">
      <c r="A57">
        <v>9188</v>
      </c>
      <c r="B57" t="s">
        <v>48</v>
      </c>
      <c r="C57">
        <v>810</v>
      </c>
      <c r="D57" t="s">
        <v>18</v>
      </c>
      <c r="E57" t="s">
        <v>15</v>
      </c>
    </row>
    <row r="58" spans="1:5" x14ac:dyDescent="0.25">
      <c r="A58">
        <v>9188</v>
      </c>
      <c r="B58" t="s">
        <v>48</v>
      </c>
      <c r="C58">
        <v>880</v>
      </c>
      <c r="D58" t="s">
        <v>31</v>
      </c>
      <c r="E58" t="s">
        <v>15</v>
      </c>
    </row>
    <row r="59" spans="1:5" x14ac:dyDescent="0.25">
      <c r="A59">
        <v>9188</v>
      </c>
      <c r="B59" t="s">
        <v>48</v>
      </c>
      <c r="C59">
        <v>2150</v>
      </c>
      <c r="D59" t="s">
        <v>49</v>
      </c>
      <c r="E59" t="s">
        <v>15</v>
      </c>
    </row>
    <row r="60" spans="1:5" x14ac:dyDescent="0.25">
      <c r="A60">
        <v>9188</v>
      </c>
      <c r="B60" t="s">
        <v>48</v>
      </c>
      <c r="C60">
        <v>1810</v>
      </c>
      <c r="D60" t="s">
        <v>8</v>
      </c>
      <c r="E60" t="s">
        <v>15</v>
      </c>
    </row>
    <row r="61" spans="1:5" x14ac:dyDescent="0.25">
      <c r="A61">
        <v>9188</v>
      </c>
      <c r="B61" t="s">
        <v>48</v>
      </c>
      <c r="C61">
        <v>890</v>
      </c>
      <c r="D61" t="s">
        <v>23</v>
      </c>
      <c r="E61" t="s">
        <v>15</v>
      </c>
    </row>
    <row r="62" spans="1:5" x14ac:dyDescent="0.25">
      <c r="A62">
        <v>9201</v>
      </c>
      <c r="B62" t="s">
        <v>50</v>
      </c>
      <c r="C62">
        <v>230</v>
      </c>
      <c r="D62" t="s">
        <v>6</v>
      </c>
      <c r="E62" t="s">
        <v>15</v>
      </c>
    </row>
    <row r="63" spans="1:5" x14ac:dyDescent="0.25">
      <c r="A63">
        <v>9211</v>
      </c>
      <c r="B63" t="s">
        <v>51</v>
      </c>
      <c r="C63">
        <v>8802</v>
      </c>
      <c r="D63" t="s">
        <v>49</v>
      </c>
      <c r="E63" t="s">
        <v>28</v>
      </c>
    </row>
    <row r="64" spans="1:5" x14ac:dyDescent="0.25">
      <c r="A64">
        <v>9211</v>
      </c>
      <c r="B64" t="s">
        <v>51</v>
      </c>
      <c r="C64">
        <v>540</v>
      </c>
      <c r="D64" t="s">
        <v>8</v>
      </c>
      <c r="E64" t="s">
        <v>28</v>
      </c>
    </row>
    <row r="65" spans="1:5" x14ac:dyDescent="0.25">
      <c r="A65">
        <v>9211</v>
      </c>
      <c r="B65" t="s">
        <v>51</v>
      </c>
      <c r="C65">
        <v>9180</v>
      </c>
      <c r="D65" t="s">
        <v>23</v>
      </c>
      <c r="E65" t="s">
        <v>28</v>
      </c>
    </row>
    <row r="66" spans="1:5" x14ac:dyDescent="0.25">
      <c r="A66">
        <v>9229</v>
      </c>
      <c r="B66" t="s">
        <v>52</v>
      </c>
      <c r="C66">
        <v>288</v>
      </c>
      <c r="D66" t="s">
        <v>20</v>
      </c>
      <c r="E66" t="s">
        <v>28</v>
      </c>
    </row>
    <row r="67" spans="1:5" x14ac:dyDescent="0.25">
      <c r="A67">
        <v>9229</v>
      </c>
      <c r="B67" t="s">
        <v>52</v>
      </c>
      <c r="C67">
        <v>128</v>
      </c>
      <c r="D67" t="s">
        <v>49</v>
      </c>
      <c r="E67" t="s">
        <v>28</v>
      </c>
    </row>
    <row r="68" spans="1:5" x14ac:dyDescent="0.25">
      <c r="A68">
        <v>9237</v>
      </c>
      <c r="B68" t="s">
        <v>53</v>
      </c>
      <c r="C68">
        <v>1524</v>
      </c>
      <c r="D68" t="s">
        <v>18</v>
      </c>
      <c r="E68" t="s">
        <v>15</v>
      </c>
    </row>
    <row r="69" spans="1:5" x14ac:dyDescent="0.25">
      <c r="A69">
        <v>9237</v>
      </c>
      <c r="B69" t="s">
        <v>53</v>
      </c>
      <c r="C69">
        <v>624</v>
      </c>
      <c r="D69" t="s">
        <v>19</v>
      </c>
      <c r="E69" t="s">
        <v>15</v>
      </c>
    </row>
    <row r="70" spans="1:5" x14ac:dyDescent="0.25">
      <c r="A70">
        <v>9237</v>
      </c>
      <c r="B70" t="s">
        <v>53</v>
      </c>
      <c r="C70">
        <v>2304</v>
      </c>
      <c r="D70" t="s">
        <v>20</v>
      </c>
      <c r="E70" t="s">
        <v>15</v>
      </c>
    </row>
    <row r="71" spans="1:5" x14ac:dyDescent="0.25">
      <c r="A71">
        <v>9237</v>
      </c>
      <c r="B71" t="s">
        <v>53</v>
      </c>
      <c r="C71">
        <v>2040</v>
      </c>
      <c r="D71" t="s">
        <v>12</v>
      </c>
      <c r="E71" t="s">
        <v>15</v>
      </c>
    </row>
    <row r="72" spans="1:5" x14ac:dyDescent="0.25">
      <c r="A72">
        <v>9237</v>
      </c>
      <c r="B72" t="s">
        <v>53</v>
      </c>
      <c r="C72">
        <v>1992</v>
      </c>
      <c r="D72" t="s">
        <v>6</v>
      </c>
      <c r="E72" t="s">
        <v>15</v>
      </c>
    </row>
    <row r="73" spans="1:5" x14ac:dyDescent="0.25">
      <c r="A73">
        <v>9237</v>
      </c>
      <c r="B73" t="s">
        <v>53</v>
      </c>
      <c r="C73">
        <v>576</v>
      </c>
      <c r="D73" t="s">
        <v>22</v>
      </c>
      <c r="E73" t="s">
        <v>15</v>
      </c>
    </row>
    <row r="74" spans="1:5" x14ac:dyDescent="0.25">
      <c r="A74">
        <v>9237</v>
      </c>
      <c r="B74" t="s">
        <v>53</v>
      </c>
      <c r="C74">
        <v>1344</v>
      </c>
      <c r="D74" t="s">
        <v>22</v>
      </c>
      <c r="E74" t="s">
        <v>15</v>
      </c>
    </row>
    <row r="75" spans="1:5" x14ac:dyDescent="0.25">
      <c r="A75">
        <v>9237</v>
      </c>
      <c r="B75" t="s">
        <v>53</v>
      </c>
      <c r="C75">
        <v>1536</v>
      </c>
      <c r="D75" t="s">
        <v>31</v>
      </c>
      <c r="E75" t="s">
        <v>15</v>
      </c>
    </row>
    <row r="76" spans="1:5" x14ac:dyDescent="0.25">
      <c r="A76">
        <v>9240</v>
      </c>
      <c r="B76" t="s">
        <v>54</v>
      </c>
      <c r="C76">
        <v>576</v>
      </c>
      <c r="D76" t="s">
        <v>31</v>
      </c>
      <c r="E76" t="s">
        <v>15</v>
      </c>
    </row>
    <row r="77" spans="1:5" x14ac:dyDescent="0.25">
      <c r="A77">
        <v>9241</v>
      </c>
      <c r="B77" t="s">
        <v>55</v>
      </c>
      <c r="C77">
        <v>3024</v>
      </c>
      <c r="D77" t="s">
        <v>20</v>
      </c>
      <c r="E77" t="s">
        <v>28</v>
      </c>
    </row>
    <row r="78" spans="1:5" x14ac:dyDescent="0.25">
      <c r="A78">
        <v>9241</v>
      </c>
      <c r="B78" t="s">
        <v>55</v>
      </c>
      <c r="C78">
        <v>6048</v>
      </c>
      <c r="D78" t="s">
        <v>6</v>
      </c>
      <c r="E78" t="s">
        <v>28</v>
      </c>
    </row>
    <row r="79" spans="1:5" x14ac:dyDescent="0.25">
      <c r="A79">
        <v>9241</v>
      </c>
      <c r="B79" t="s">
        <v>55</v>
      </c>
      <c r="C79">
        <v>4032</v>
      </c>
      <c r="D79" t="s">
        <v>31</v>
      </c>
      <c r="E79" t="s">
        <v>28</v>
      </c>
    </row>
    <row r="80" spans="1:5" x14ac:dyDescent="0.25">
      <c r="A80">
        <v>9241</v>
      </c>
      <c r="B80" t="s">
        <v>55</v>
      </c>
      <c r="C80">
        <v>4032</v>
      </c>
      <c r="D80" t="s">
        <v>8</v>
      </c>
      <c r="E80" t="s">
        <v>28</v>
      </c>
    </row>
    <row r="81" spans="1:5" x14ac:dyDescent="0.25">
      <c r="A81">
        <v>9283</v>
      </c>
      <c r="B81" t="s">
        <v>56</v>
      </c>
      <c r="C81">
        <v>1920</v>
      </c>
      <c r="D81" t="s">
        <v>49</v>
      </c>
      <c r="E81" t="s">
        <v>15</v>
      </c>
    </row>
    <row r="82" spans="1:5" x14ac:dyDescent="0.25">
      <c r="A82">
        <v>9288</v>
      </c>
      <c r="B82" t="s">
        <v>57</v>
      </c>
      <c r="C82">
        <v>348</v>
      </c>
      <c r="D82" t="s">
        <v>49</v>
      </c>
      <c r="E82" t="s">
        <v>28</v>
      </c>
    </row>
    <row r="83" spans="1:5" x14ac:dyDescent="0.25">
      <c r="A83">
        <v>2283</v>
      </c>
      <c r="B83" t="s">
        <v>5</v>
      </c>
      <c r="C83">
        <v>1120</v>
      </c>
      <c r="D83" t="s">
        <v>58</v>
      </c>
      <c r="E83" t="s">
        <v>7</v>
      </c>
    </row>
    <row r="84" spans="1:5" x14ac:dyDescent="0.25">
      <c r="A84">
        <v>2283</v>
      </c>
      <c r="B84" t="s">
        <v>5</v>
      </c>
      <c r="C84">
        <v>856</v>
      </c>
      <c r="D84" t="s">
        <v>59</v>
      </c>
      <c r="E84" t="s">
        <v>7</v>
      </c>
    </row>
    <row r="85" spans="1:5" x14ac:dyDescent="0.25">
      <c r="A85">
        <v>2283</v>
      </c>
      <c r="B85" t="s">
        <v>5</v>
      </c>
      <c r="C85">
        <v>640</v>
      </c>
      <c r="D85" t="s">
        <v>60</v>
      </c>
      <c r="E85" t="s">
        <v>7</v>
      </c>
    </row>
    <row r="86" spans="1:5" x14ac:dyDescent="0.25">
      <c r="A86">
        <v>2283</v>
      </c>
      <c r="B86" t="s">
        <v>5</v>
      </c>
      <c r="C86">
        <v>1440</v>
      </c>
      <c r="D86" t="s">
        <v>61</v>
      </c>
      <c r="E86" t="s">
        <v>7</v>
      </c>
    </row>
    <row r="87" spans="1:5" x14ac:dyDescent="0.25">
      <c r="A87">
        <v>2736</v>
      </c>
      <c r="B87" t="s">
        <v>62</v>
      </c>
      <c r="C87">
        <v>4596</v>
      </c>
      <c r="D87" t="s">
        <v>59</v>
      </c>
      <c r="E87" t="s">
        <v>15</v>
      </c>
    </row>
    <row r="88" spans="1:5" x14ac:dyDescent="0.25">
      <c r="A88">
        <v>2736</v>
      </c>
      <c r="B88" t="s">
        <v>62</v>
      </c>
      <c r="C88">
        <v>6396</v>
      </c>
      <c r="D88" t="s">
        <v>63</v>
      </c>
      <c r="E88" t="s">
        <v>15</v>
      </c>
    </row>
    <row r="89" spans="1:5" x14ac:dyDescent="0.25">
      <c r="A89">
        <v>2736</v>
      </c>
      <c r="B89" t="s">
        <v>62</v>
      </c>
      <c r="C89">
        <v>2880</v>
      </c>
      <c r="D89" t="s">
        <v>64</v>
      </c>
      <c r="E89" t="s">
        <v>15</v>
      </c>
    </row>
    <row r="90" spans="1:5" x14ac:dyDescent="0.25">
      <c r="A90">
        <v>2736</v>
      </c>
      <c r="B90" t="s">
        <v>62</v>
      </c>
      <c r="C90">
        <v>4308</v>
      </c>
      <c r="D90" t="s">
        <v>65</v>
      </c>
      <c r="E90" t="s">
        <v>15</v>
      </c>
    </row>
    <row r="91" spans="1:5" x14ac:dyDescent="0.25">
      <c r="A91">
        <v>2736</v>
      </c>
      <c r="B91" t="s">
        <v>62</v>
      </c>
      <c r="C91">
        <v>7212</v>
      </c>
      <c r="D91" t="s">
        <v>61</v>
      </c>
      <c r="E91" t="s">
        <v>15</v>
      </c>
    </row>
    <row r="92" spans="1:5" x14ac:dyDescent="0.25">
      <c r="A92">
        <v>2738</v>
      </c>
      <c r="B92" t="s">
        <v>16</v>
      </c>
      <c r="C92">
        <v>960</v>
      </c>
      <c r="D92" t="s">
        <v>66</v>
      </c>
      <c r="E92" t="s">
        <v>15</v>
      </c>
    </row>
    <row r="93" spans="1:5" x14ac:dyDescent="0.25">
      <c r="A93">
        <v>2738</v>
      </c>
      <c r="B93" t="s">
        <v>16</v>
      </c>
      <c r="C93">
        <v>3240</v>
      </c>
      <c r="D93" t="s">
        <v>67</v>
      </c>
      <c r="E93" t="s">
        <v>15</v>
      </c>
    </row>
    <row r="94" spans="1:5" x14ac:dyDescent="0.25">
      <c r="A94">
        <v>2738</v>
      </c>
      <c r="B94" t="s">
        <v>16</v>
      </c>
      <c r="C94">
        <v>6480</v>
      </c>
      <c r="D94" t="s">
        <v>68</v>
      </c>
      <c r="E94" t="s">
        <v>15</v>
      </c>
    </row>
    <row r="95" spans="1:5" x14ac:dyDescent="0.25">
      <c r="A95">
        <v>2738</v>
      </c>
      <c r="B95" t="s">
        <v>16</v>
      </c>
      <c r="C95">
        <v>1440</v>
      </c>
      <c r="D95" t="s">
        <v>59</v>
      </c>
      <c r="E95" t="s">
        <v>15</v>
      </c>
    </row>
    <row r="96" spans="1:5" x14ac:dyDescent="0.25">
      <c r="A96">
        <v>2738</v>
      </c>
      <c r="B96" t="s">
        <v>16</v>
      </c>
      <c r="C96">
        <v>3600</v>
      </c>
      <c r="D96" t="s">
        <v>69</v>
      </c>
      <c r="E96" t="s">
        <v>15</v>
      </c>
    </row>
    <row r="97" spans="1:5" x14ac:dyDescent="0.25">
      <c r="A97">
        <v>2738</v>
      </c>
      <c r="B97" t="s">
        <v>16</v>
      </c>
      <c r="C97">
        <v>4320</v>
      </c>
      <c r="D97" t="s">
        <v>60</v>
      </c>
      <c r="E97" t="s">
        <v>15</v>
      </c>
    </row>
    <row r="98" spans="1:5" x14ac:dyDescent="0.25">
      <c r="A98">
        <v>2738</v>
      </c>
      <c r="B98" t="s">
        <v>16</v>
      </c>
      <c r="C98">
        <v>930</v>
      </c>
      <c r="D98" t="s">
        <v>70</v>
      </c>
      <c r="E98" t="s">
        <v>15</v>
      </c>
    </row>
    <row r="99" spans="1:5" x14ac:dyDescent="0.25">
      <c r="A99">
        <v>2738</v>
      </c>
      <c r="B99" t="s">
        <v>16</v>
      </c>
      <c r="C99">
        <v>1440</v>
      </c>
      <c r="D99" t="s">
        <v>65</v>
      </c>
      <c r="E99" t="s">
        <v>15</v>
      </c>
    </row>
    <row r="100" spans="1:5" x14ac:dyDescent="0.25">
      <c r="A100">
        <v>2738</v>
      </c>
      <c r="B100" t="s">
        <v>16</v>
      </c>
      <c r="C100">
        <v>3795</v>
      </c>
      <c r="D100" t="s">
        <v>71</v>
      </c>
      <c r="E100" t="s">
        <v>15</v>
      </c>
    </row>
    <row r="101" spans="1:5" x14ac:dyDescent="0.25">
      <c r="A101">
        <v>2738</v>
      </c>
      <c r="B101" t="s">
        <v>16</v>
      </c>
      <c r="C101">
        <v>1245</v>
      </c>
      <c r="D101" t="s">
        <v>61</v>
      </c>
      <c r="E101" t="s">
        <v>15</v>
      </c>
    </row>
    <row r="102" spans="1:5" x14ac:dyDescent="0.25">
      <c r="A102">
        <v>4808</v>
      </c>
      <c r="B102" t="s">
        <v>24</v>
      </c>
      <c r="C102">
        <v>1480</v>
      </c>
      <c r="D102" t="s">
        <v>58</v>
      </c>
      <c r="E102" t="s">
        <v>25</v>
      </c>
    </row>
    <row r="103" spans="1:5" x14ac:dyDescent="0.25">
      <c r="A103">
        <v>4808</v>
      </c>
      <c r="B103" t="s">
        <v>24</v>
      </c>
      <c r="C103">
        <v>1904</v>
      </c>
      <c r="D103" t="s">
        <v>60</v>
      </c>
      <c r="E103" t="s">
        <v>25</v>
      </c>
    </row>
    <row r="104" spans="1:5" x14ac:dyDescent="0.25">
      <c r="A104">
        <v>4855</v>
      </c>
      <c r="B104" t="s">
        <v>26</v>
      </c>
      <c r="C104">
        <v>3160</v>
      </c>
      <c r="D104" t="s">
        <v>72</v>
      </c>
      <c r="E104" t="s">
        <v>25</v>
      </c>
    </row>
    <row r="105" spans="1:5" x14ac:dyDescent="0.25">
      <c r="A105">
        <v>4855</v>
      </c>
      <c r="B105" t="s">
        <v>26</v>
      </c>
      <c r="C105">
        <v>1616</v>
      </c>
      <c r="D105" t="s">
        <v>58</v>
      </c>
      <c r="E105" t="s">
        <v>25</v>
      </c>
    </row>
    <row r="106" spans="1:5" x14ac:dyDescent="0.25">
      <c r="A106">
        <v>4855</v>
      </c>
      <c r="B106" t="s">
        <v>26</v>
      </c>
      <c r="C106">
        <v>560</v>
      </c>
      <c r="D106" t="s">
        <v>59</v>
      </c>
      <c r="E106" t="s">
        <v>25</v>
      </c>
    </row>
    <row r="107" spans="1:5" x14ac:dyDescent="0.25">
      <c r="A107">
        <v>4855</v>
      </c>
      <c r="B107" t="s">
        <v>26</v>
      </c>
      <c r="C107">
        <v>4344</v>
      </c>
      <c r="D107" t="s">
        <v>69</v>
      </c>
      <c r="E107" t="s">
        <v>25</v>
      </c>
    </row>
    <row r="108" spans="1:5" x14ac:dyDescent="0.25">
      <c r="A108">
        <v>4906</v>
      </c>
      <c r="B108" t="s">
        <v>73</v>
      </c>
      <c r="C108">
        <v>5790</v>
      </c>
      <c r="D108" t="s">
        <v>74</v>
      </c>
      <c r="E108" t="s">
        <v>25</v>
      </c>
    </row>
    <row r="109" spans="1:5" x14ac:dyDescent="0.25">
      <c r="A109">
        <v>4906</v>
      </c>
      <c r="B109" t="s">
        <v>73</v>
      </c>
      <c r="C109">
        <v>1530</v>
      </c>
      <c r="D109" t="s">
        <v>59</v>
      </c>
      <c r="E109" t="s">
        <v>25</v>
      </c>
    </row>
    <row r="110" spans="1:5" x14ac:dyDescent="0.25">
      <c r="A110">
        <v>9001</v>
      </c>
      <c r="B110" t="s">
        <v>29</v>
      </c>
      <c r="C110">
        <v>4104</v>
      </c>
      <c r="D110" t="s">
        <v>66</v>
      </c>
      <c r="E110" t="s">
        <v>28</v>
      </c>
    </row>
    <row r="111" spans="1:5" x14ac:dyDescent="0.25">
      <c r="A111">
        <v>9001</v>
      </c>
      <c r="B111" t="s">
        <v>29</v>
      </c>
      <c r="C111">
        <v>6336</v>
      </c>
      <c r="D111" t="s">
        <v>67</v>
      </c>
      <c r="E111" t="s">
        <v>28</v>
      </c>
    </row>
    <row r="112" spans="1:5" x14ac:dyDescent="0.25">
      <c r="A112">
        <v>9001</v>
      </c>
      <c r="B112" t="s">
        <v>29</v>
      </c>
      <c r="C112">
        <v>3348</v>
      </c>
      <c r="D112" t="s">
        <v>58</v>
      </c>
      <c r="E112" t="s">
        <v>28</v>
      </c>
    </row>
    <row r="113" spans="1:5" x14ac:dyDescent="0.25">
      <c r="A113">
        <v>9001</v>
      </c>
      <c r="B113" t="s">
        <v>29</v>
      </c>
      <c r="C113">
        <v>5148</v>
      </c>
      <c r="D113" t="s">
        <v>75</v>
      </c>
      <c r="E113" t="s">
        <v>28</v>
      </c>
    </row>
    <row r="114" spans="1:5" x14ac:dyDescent="0.25">
      <c r="A114">
        <v>9001</v>
      </c>
      <c r="B114" t="s">
        <v>29</v>
      </c>
      <c r="C114">
        <v>720</v>
      </c>
      <c r="D114" t="s">
        <v>59</v>
      </c>
      <c r="E114" t="s">
        <v>28</v>
      </c>
    </row>
    <row r="115" spans="1:5" x14ac:dyDescent="0.25">
      <c r="A115">
        <v>9001</v>
      </c>
      <c r="B115" t="s">
        <v>29</v>
      </c>
      <c r="C115">
        <v>4752</v>
      </c>
      <c r="D115" t="s">
        <v>60</v>
      </c>
      <c r="E115" t="s">
        <v>28</v>
      </c>
    </row>
    <row r="116" spans="1:5" x14ac:dyDescent="0.25">
      <c r="A116">
        <v>9001</v>
      </c>
      <c r="B116" t="s">
        <v>29</v>
      </c>
      <c r="C116">
        <v>2304</v>
      </c>
      <c r="D116" t="s">
        <v>64</v>
      </c>
      <c r="E116" t="s">
        <v>28</v>
      </c>
    </row>
    <row r="117" spans="1:5" x14ac:dyDescent="0.25">
      <c r="A117">
        <v>9001</v>
      </c>
      <c r="B117" t="s">
        <v>29</v>
      </c>
      <c r="C117">
        <v>864</v>
      </c>
      <c r="D117" t="s">
        <v>70</v>
      </c>
      <c r="E117" t="s">
        <v>28</v>
      </c>
    </row>
    <row r="118" spans="1:5" x14ac:dyDescent="0.25">
      <c r="A118">
        <v>9001</v>
      </c>
      <c r="B118" t="s">
        <v>29</v>
      </c>
      <c r="C118">
        <v>864</v>
      </c>
      <c r="D118" t="s">
        <v>76</v>
      </c>
      <c r="E118" t="s">
        <v>28</v>
      </c>
    </row>
    <row r="119" spans="1:5" x14ac:dyDescent="0.25">
      <c r="A119">
        <v>9001</v>
      </c>
      <c r="B119" t="s">
        <v>29</v>
      </c>
      <c r="C119">
        <v>3312</v>
      </c>
      <c r="D119" t="s">
        <v>65</v>
      </c>
      <c r="E119" t="s">
        <v>28</v>
      </c>
    </row>
    <row r="120" spans="1:5" x14ac:dyDescent="0.25">
      <c r="A120">
        <v>9003</v>
      </c>
      <c r="B120" t="s">
        <v>32</v>
      </c>
      <c r="C120">
        <v>2304</v>
      </c>
      <c r="D120" t="s">
        <v>66</v>
      </c>
      <c r="E120" t="s">
        <v>28</v>
      </c>
    </row>
    <row r="121" spans="1:5" x14ac:dyDescent="0.25">
      <c r="A121">
        <v>9003</v>
      </c>
      <c r="B121" t="s">
        <v>32</v>
      </c>
      <c r="C121">
        <v>2304</v>
      </c>
      <c r="D121" t="s">
        <v>67</v>
      </c>
      <c r="E121" t="s">
        <v>28</v>
      </c>
    </row>
    <row r="122" spans="1:5" x14ac:dyDescent="0.25">
      <c r="A122">
        <v>9003</v>
      </c>
      <c r="B122" t="s">
        <v>32</v>
      </c>
      <c r="C122">
        <v>3780</v>
      </c>
      <c r="D122" t="s">
        <v>58</v>
      </c>
      <c r="E122" t="s">
        <v>28</v>
      </c>
    </row>
    <row r="123" spans="1:5" x14ac:dyDescent="0.25">
      <c r="A123">
        <v>9003</v>
      </c>
      <c r="B123" t="s">
        <v>32</v>
      </c>
      <c r="C123">
        <v>3960</v>
      </c>
      <c r="D123" t="s">
        <v>75</v>
      </c>
      <c r="E123" t="s">
        <v>28</v>
      </c>
    </row>
    <row r="124" spans="1:5" x14ac:dyDescent="0.25">
      <c r="A124">
        <v>9003</v>
      </c>
      <c r="B124" t="s">
        <v>32</v>
      </c>
      <c r="C124">
        <v>2808</v>
      </c>
      <c r="D124" t="s">
        <v>59</v>
      </c>
      <c r="E124" t="s">
        <v>28</v>
      </c>
    </row>
    <row r="125" spans="1:5" x14ac:dyDescent="0.25">
      <c r="A125">
        <v>9003</v>
      </c>
      <c r="B125" t="s">
        <v>32</v>
      </c>
      <c r="C125">
        <v>2232</v>
      </c>
      <c r="D125" t="s">
        <v>63</v>
      </c>
      <c r="E125" t="s">
        <v>28</v>
      </c>
    </row>
    <row r="126" spans="1:5" x14ac:dyDescent="0.25">
      <c r="A126">
        <v>9003</v>
      </c>
      <c r="B126" t="s">
        <v>32</v>
      </c>
      <c r="C126">
        <v>3348</v>
      </c>
      <c r="D126" t="s">
        <v>60</v>
      </c>
      <c r="E126" t="s">
        <v>28</v>
      </c>
    </row>
    <row r="127" spans="1:5" x14ac:dyDescent="0.25">
      <c r="A127">
        <v>9003</v>
      </c>
      <c r="B127" t="s">
        <v>32</v>
      </c>
      <c r="C127">
        <v>3456</v>
      </c>
      <c r="D127" t="s">
        <v>76</v>
      </c>
      <c r="E127" t="s">
        <v>28</v>
      </c>
    </row>
    <row r="128" spans="1:5" x14ac:dyDescent="0.25">
      <c r="A128">
        <v>9004</v>
      </c>
      <c r="B128" t="s">
        <v>33</v>
      </c>
      <c r="C128">
        <v>720</v>
      </c>
      <c r="D128" t="s">
        <v>58</v>
      </c>
      <c r="E128" t="s">
        <v>28</v>
      </c>
    </row>
    <row r="129" spans="1:5" x14ac:dyDescent="0.25">
      <c r="A129">
        <v>9004</v>
      </c>
      <c r="B129" t="s">
        <v>33</v>
      </c>
      <c r="C129">
        <v>2304</v>
      </c>
      <c r="D129" t="s">
        <v>60</v>
      </c>
      <c r="E129" t="s">
        <v>28</v>
      </c>
    </row>
    <row r="130" spans="1:5" x14ac:dyDescent="0.25">
      <c r="A130">
        <v>9004</v>
      </c>
      <c r="B130" t="s">
        <v>33</v>
      </c>
      <c r="C130">
        <v>2448</v>
      </c>
      <c r="D130" t="s">
        <v>65</v>
      </c>
      <c r="E130" t="s">
        <v>28</v>
      </c>
    </row>
    <row r="131" spans="1:5" x14ac:dyDescent="0.25">
      <c r="A131">
        <v>9009</v>
      </c>
      <c r="B131" t="s">
        <v>77</v>
      </c>
      <c r="C131">
        <v>864</v>
      </c>
      <c r="D131" t="s">
        <v>66</v>
      </c>
      <c r="E131" t="s">
        <v>28</v>
      </c>
    </row>
    <row r="132" spans="1:5" x14ac:dyDescent="0.25">
      <c r="A132">
        <v>9009</v>
      </c>
      <c r="B132" t="s">
        <v>77</v>
      </c>
      <c r="C132">
        <v>936</v>
      </c>
      <c r="D132" t="s">
        <v>63</v>
      </c>
      <c r="E132" t="s">
        <v>28</v>
      </c>
    </row>
    <row r="133" spans="1:5" x14ac:dyDescent="0.25">
      <c r="A133">
        <v>9011</v>
      </c>
      <c r="B133" t="s">
        <v>78</v>
      </c>
      <c r="C133">
        <v>1980</v>
      </c>
      <c r="D133" t="s">
        <v>66</v>
      </c>
      <c r="E133" t="s">
        <v>28</v>
      </c>
    </row>
    <row r="134" spans="1:5" x14ac:dyDescent="0.25">
      <c r="A134">
        <v>9011</v>
      </c>
      <c r="B134" t="s">
        <v>78</v>
      </c>
      <c r="C134">
        <v>432</v>
      </c>
      <c r="D134" t="s">
        <v>69</v>
      </c>
      <c r="E134" t="s">
        <v>28</v>
      </c>
    </row>
    <row r="135" spans="1:5" x14ac:dyDescent="0.25">
      <c r="A135">
        <v>9011</v>
      </c>
      <c r="B135" t="s">
        <v>78</v>
      </c>
      <c r="C135">
        <v>720</v>
      </c>
      <c r="D135" t="s">
        <v>63</v>
      </c>
      <c r="E135" t="s">
        <v>28</v>
      </c>
    </row>
    <row r="136" spans="1:5" x14ac:dyDescent="0.25">
      <c r="A136">
        <v>9011</v>
      </c>
      <c r="B136" t="s">
        <v>78</v>
      </c>
      <c r="C136">
        <v>360</v>
      </c>
      <c r="D136" t="s">
        <v>70</v>
      </c>
      <c r="E136" t="s">
        <v>28</v>
      </c>
    </row>
    <row r="137" spans="1:5" x14ac:dyDescent="0.25">
      <c r="A137">
        <v>9011</v>
      </c>
      <c r="B137" t="s">
        <v>78</v>
      </c>
      <c r="C137">
        <v>576</v>
      </c>
      <c r="D137" t="s">
        <v>76</v>
      </c>
      <c r="E137" t="s">
        <v>28</v>
      </c>
    </row>
    <row r="138" spans="1:5" x14ac:dyDescent="0.25">
      <c r="A138">
        <v>9011</v>
      </c>
      <c r="B138" t="s">
        <v>78</v>
      </c>
      <c r="C138">
        <v>1584</v>
      </c>
      <c r="D138" t="s">
        <v>65</v>
      </c>
      <c r="E138" t="s">
        <v>28</v>
      </c>
    </row>
    <row r="139" spans="1:5" x14ac:dyDescent="0.25">
      <c r="A139">
        <v>9013</v>
      </c>
      <c r="B139" t="s">
        <v>35</v>
      </c>
      <c r="C139">
        <v>720</v>
      </c>
      <c r="D139" t="s">
        <v>58</v>
      </c>
      <c r="E139" t="s">
        <v>28</v>
      </c>
    </row>
    <row r="140" spans="1:5" x14ac:dyDescent="0.25">
      <c r="A140">
        <v>9013</v>
      </c>
      <c r="B140" t="s">
        <v>35</v>
      </c>
      <c r="C140">
        <v>2304</v>
      </c>
      <c r="D140" t="s">
        <v>65</v>
      </c>
      <c r="E140" t="s">
        <v>28</v>
      </c>
    </row>
    <row r="141" spans="1:5" x14ac:dyDescent="0.25">
      <c r="A141">
        <v>9014</v>
      </c>
      <c r="B141" t="s">
        <v>79</v>
      </c>
      <c r="C141">
        <v>800</v>
      </c>
      <c r="D141" t="s">
        <v>58</v>
      </c>
      <c r="E141" t="s">
        <v>28</v>
      </c>
    </row>
    <row r="142" spans="1:5" x14ac:dyDescent="0.25">
      <c r="A142">
        <v>9014</v>
      </c>
      <c r="B142" t="s">
        <v>79</v>
      </c>
      <c r="C142">
        <v>1920</v>
      </c>
      <c r="D142" t="s">
        <v>59</v>
      </c>
      <c r="E142" t="s">
        <v>28</v>
      </c>
    </row>
    <row r="143" spans="1:5" x14ac:dyDescent="0.25">
      <c r="A143">
        <v>9014</v>
      </c>
      <c r="B143" t="s">
        <v>79</v>
      </c>
      <c r="C143">
        <v>640</v>
      </c>
      <c r="D143" t="s">
        <v>76</v>
      </c>
      <c r="E143" t="s">
        <v>28</v>
      </c>
    </row>
    <row r="144" spans="1:5" x14ac:dyDescent="0.25">
      <c r="A144">
        <v>9018</v>
      </c>
      <c r="B144" t="s">
        <v>36</v>
      </c>
      <c r="C144">
        <v>756</v>
      </c>
      <c r="D144" t="s">
        <v>66</v>
      </c>
      <c r="E144" t="s">
        <v>28</v>
      </c>
    </row>
    <row r="145" spans="1:5" x14ac:dyDescent="0.25">
      <c r="A145">
        <v>9019</v>
      </c>
      <c r="B145" t="s">
        <v>37</v>
      </c>
      <c r="C145">
        <v>2304</v>
      </c>
      <c r="D145" t="s">
        <v>67</v>
      </c>
      <c r="E145" t="s">
        <v>28</v>
      </c>
    </row>
    <row r="146" spans="1:5" x14ac:dyDescent="0.25">
      <c r="A146">
        <v>9019</v>
      </c>
      <c r="B146" t="s">
        <v>37</v>
      </c>
      <c r="C146">
        <v>936</v>
      </c>
      <c r="D146" t="s">
        <v>75</v>
      </c>
      <c r="E146" t="s">
        <v>28</v>
      </c>
    </row>
    <row r="147" spans="1:5" x14ac:dyDescent="0.25">
      <c r="A147">
        <v>9019</v>
      </c>
      <c r="B147" t="s">
        <v>37</v>
      </c>
      <c r="C147">
        <v>3636</v>
      </c>
      <c r="D147" t="s">
        <v>65</v>
      </c>
      <c r="E147" t="s">
        <v>28</v>
      </c>
    </row>
    <row r="148" spans="1:5" x14ac:dyDescent="0.25">
      <c r="A148">
        <v>9021</v>
      </c>
      <c r="B148" t="s">
        <v>38</v>
      </c>
      <c r="C148">
        <v>576</v>
      </c>
      <c r="D148" t="s">
        <v>58</v>
      </c>
      <c r="E148" t="s">
        <v>28</v>
      </c>
    </row>
    <row r="149" spans="1:5" x14ac:dyDescent="0.25">
      <c r="A149">
        <v>9025</v>
      </c>
      <c r="B149" t="s">
        <v>40</v>
      </c>
      <c r="C149">
        <v>1512</v>
      </c>
      <c r="D149" t="s">
        <v>60</v>
      </c>
      <c r="E149" t="s">
        <v>28</v>
      </c>
    </row>
    <row r="150" spans="1:5" x14ac:dyDescent="0.25">
      <c r="A150">
        <v>9026</v>
      </c>
      <c r="B150" t="s">
        <v>80</v>
      </c>
      <c r="C150">
        <v>2304</v>
      </c>
      <c r="D150" t="s">
        <v>76</v>
      </c>
      <c r="E150" t="s">
        <v>28</v>
      </c>
    </row>
    <row r="151" spans="1:5" x14ac:dyDescent="0.25">
      <c r="A151">
        <v>9029</v>
      </c>
      <c r="B151" t="s">
        <v>41</v>
      </c>
      <c r="C151">
        <v>720</v>
      </c>
      <c r="D151" t="s">
        <v>59</v>
      </c>
      <c r="E151" t="s">
        <v>28</v>
      </c>
    </row>
    <row r="152" spans="1:5" x14ac:dyDescent="0.25">
      <c r="A152">
        <v>9031</v>
      </c>
      <c r="B152" t="s">
        <v>42</v>
      </c>
      <c r="C152">
        <v>4032</v>
      </c>
      <c r="D152" t="s">
        <v>68</v>
      </c>
      <c r="E152" t="s">
        <v>43</v>
      </c>
    </row>
    <row r="153" spans="1:5" x14ac:dyDescent="0.25">
      <c r="A153">
        <v>9033</v>
      </c>
      <c r="B153" t="s">
        <v>81</v>
      </c>
      <c r="C153">
        <v>1460</v>
      </c>
      <c r="D153" t="s">
        <v>67</v>
      </c>
      <c r="E153" t="s">
        <v>15</v>
      </c>
    </row>
    <row r="154" spans="1:5" x14ac:dyDescent="0.25">
      <c r="A154">
        <v>9034</v>
      </c>
      <c r="B154" t="s">
        <v>82</v>
      </c>
      <c r="C154">
        <v>3960</v>
      </c>
      <c r="D154" t="s">
        <v>66</v>
      </c>
      <c r="E154" t="s">
        <v>15</v>
      </c>
    </row>
    <row r="155" spans="1:5" x14ac:dyDescent="0.25">
      <c r="A155">
        <v>9034</v>
      </c>
      <c r="B155" t="s">
        <v>82</v>
      </c>
      <c r="C155">
        <v>3960</v>
      </c>
      <c r="D155" t="s">
        <v>72</v>
      </c>
      <c r="E155" t="s">
        <v>15</v>
      </c>
    </row>
    <row r="156" spans="1:5" x14ac:dyDescent="0.25">
      <c r="A156">
        <v>9034</v>
      </c>
      <c r="B156" t="s">
        <v>82</v>
      </c>
      <c r="C156">
        <v>4320</v>
      </c>
      <c r="D156" t="s">
        <v>74</v>
      </c>
      <c r="E156" t="s">
        <v>15</v>
      </c>
    </row>
    <row r="157" spans="1:5" x14ac:dyDescent="0.25">
      <c r="A157">
        <v>9034</v>
      </c>
      <c r="B157" t="s">
        <v>82</v>
      </c>
      <c r="C157">
        <v>2505</v>
      </c>
      <c r="D157" t="s">
        <v>58</v>
      </c>
      <c r="E157" t="s">
        <v>15</v>
      </c>
    </row>
    <row r="158" spans="1:5" x14ac:dyDescent="0.25">
      <c r="A158">
        <v>9034</v>
      </c>
      <c r="B158" t="s">
        <v>82</v>
      </c>
      <c r="C158">
        <v>3975</v>
      </c>
      <c r="D158" t="s">
        <v>75</v>
      </c>
      <c r="E158" t="s">
        <v>15</v>
      </c>
    </row>
    <row r="159" spans="1:5" x14ac:dyDescent="0.25">
      <c r="A159">
        <v>9034</v>
      </c>
      <c r="B159" t="s">
        <v>82</v>
      </c>
      <c r="C159">
        <v>3600</v>
      </c>
      <c r="D159" t="s">
        <v>83</v>
      </c>
      <c r="E159" t="s">
        <v>15</v>
      </c>
    </row>
    <row r="160" spans="1:5" x14ac:dyDescent="0.25">
      <c r="A160">
        <v>9053</v>
      </c>
      <c r="B160" t="s">
        <v>44</v>
      </c>
      <c r="C160">
        <v>1280</v>
      </c>
      <c r="D160" t="s">
        <v>66</v>
      </c>
      <c r="E160" t="s">
        <v>45</v>
      </c>
    </row>
    <row r="161" spans="1:5" x14ac:dyDescent="0.25">
      <c r="A161">
        <v>9053</v>
      </c>
      <c r="B161" t="s">
        <v>44</v>
      </c>
      <c r="C161">
        <v>2690</v>
      </c>
      <c r="D161" t="s">
        <v>75</v>
      </c>
      <c r="E161" t="s">
        <v>45</v>
      </c>
    </row>
    <row r="162" spans="1:5" x14ac:dyDescent="0.25">
      <c r="A162">
        <v>9053</v>
      </c>
      <c r="B162" t="s">
        <v>44</v>
      </c>
      <c r="C162">
        <v>960</v>
      </c>
      <c r="D162" t="s">
        <v>83</v>
      </c>
      <c r="E162" t="s">
        <v>45</v>
      </c>
    </row>
    <row r="163" spans="1:5" x14ac:dyDescent="0.25">
      <c r="A163">
        <v>9053</v>
      </c>
      <c r="B163" t="s">
        <v>44</v>
      </c>
      <c r="C163">
        <v>2070</v>
      </c>
      <c r="D163" t="s">
        <v>63</v>
      </c>
      <c r="E163" t="s">
        <v>45</v>
      </c>
    </row>
    <row r="164" spans="1:5" x14ac:dyDescent="0.25">
      <c r="A164">
        <v>9053</v>
      </c>
      <c r="B164" t="s">
        <v>44</v>
      </c>
      <c r="C164">
        <v>1280</v>
      </c>
      <c r="D164" t="s">
        <v>71</v>
      </c>
      <c r="E164" t="s">
        <v>45</v>
      </c>
    </row>
    <row r="165" spans="1:5" x14ac:dyDescent="0.25">
      <c r="A165">
        <v>9188</v>
      </c>
      <c r="B165" t="s">
        <v>48</v>
      </c>
      <c r="C165">
        <v>640</v>
      </c>
      <c r="D165" t="s">
        <v>74</v>
      </c>
      <c r="E165" t="s">
        <v>15</v>
      </c>
    </row>
    <row r="166" spans="1:5" x14ac:dyDescent="0.25">
      <c r="A166">
        <v>9188</v>
      </c>
      <c r="B166" t="s">
        <v>48</v>
      </c>
      <c r="C166">
        <v>3730</v>
      </c>
      <c r="D166" t="s">
        <v>64</v>
      </c>
      <c r="E166" t="s">
        <v>15</v>
      </c>
    </row>
    <row r="167" spans="1:5" x14ac:dyDescent="0.25">
      <c r="A167">
        <v>9188</v>
      </c>
      <c r="B167" t="s">
        <v>48</v>
      </c>
      <c r="C167">
        <v>2370</v>
      </c>
      <c r="D167" t="s">
        <v>70</v>
      </c>
      <c r="E167" t="s">
        <v>15</v>
      </c>
    </row>
    <row r="168" spans="1:5" x14ac:dyDescent="0.25">
      <c r="A168">
        <v>9188</v>
      </c>
      <c r="B168" t="s">
        <v>48</v>
      </c>
      <c r="C168">
        <v>3850</v>
      </c>
      <c r="D168" t="s">
        <v>76</v>
      </c>
      <c r="E168" t="s">
        <v>15</v>
      </c>
    </row>
    <row r="169" spans="1:5" x14ac:dyDescent="0.25">
      <c r="A169">
        <v>9211</v>
      </c>
      <c r="B169" t="s">
        <v>51</v>
      </c>
      <c r="C169">
        <v>3618</v>
      </c>
      <c r="D169" t="s">
        <v>72</v>
      </c>
      <c r="E169" t="s">
        <v>28</v>
      </c>
    </row>
    <row r="170" spans="1:5" x14ac:dyDescent="0.25">
      <c r="A170">
        <v>9211</v>
      </c>
      <c r="B170" t="s">
        <v>51</v>
      </c>
      <c r="C170">
        <v>3240</v>
      </c>
      <c r="D170" t="s">
        <v>74</v>
      </c>
      <c r="E170" t="s">
        <v>28</v>
      </c>
    </row>
    <row r="171" spans="1:5" x14ac:dyDescent="0.25">
      <c r="A171">
        <v>9211</v>
      </c>
      <c r="B171" t="s">
        <v>51</v>
      </c>
      <c r="C171">
        <v>3402</v>
      </c>
      <c r="D171" t="s">
        <v>58</v>
      </c>
      <c r="E171" t="s">
        <v>28</v>
      </c>
    </row>
    <row r="172" spans="1:5" x14ac:dyDescent="0.25">
      <c r="A172">
        <v>9211</v>
      </c>
      <c r="B172" t="s">
        <v>51</v>
      </c>
      <c r="C172">
        <v>1998</v>
      </c>
      <c r="D172" t="s">
        <v>75</v>
      </c>
      <c r="E172" t="s">
        <v>28</v>
      </c>
    </row>
    <row r="173" spans="1:5" x14ac:dyDescent="0.25">
      <c r="A173">
        <v>9211</v>
      </c>
      <c r="B173" t="s">
        <v>51</v>
      </c>
      <c r="C173">
        <v>9234</v>
      </c>
      <c r="D173" t="s">
        <v>83</v>
      </c>
      <c r="E173" t="s">
        <v>28</v>
      </c>
    </row>
    <row r="174" spans="1:5" x14ac:dyDescent="0.25">
      <c r="A174">
        <v>9211</v>
      </c>
      <c r="B174" t="s">
        <v>51</v>
      </c>
      <c r="C174">
        <v>8640</v>
      </c>
      <c r="D174" t="s">
        <v>68</v>
      </c>
      <c r="E174" t="s">
        <v>28</v>
      </c>
    </row>
    <row r="175" spans="1:5" x14ac:dyDescent="0.25">
      <c r="A175">
        <v>9213</v>
      </c>
      <c r="B175" t="s">
        <v>84</v>
      </c>
      <c r="C175">
        <v>1254</v>
      </c>
      <c r="D175" t="s">
        <v>70</v>
      </c>
      <c r="E175" t="s">
        <v>15</v>
      </c>
    </row>
    <row r="176" spans="1:5" x14ac:dyDescent="0.25">
      <c r="A176">
        <v>9229</v>
      </c>
      <c r="B176" t="s">
        <v>52</v>
      </c>
      <c r="C176">
        <v>136</v>
      </c>
      <c r="D176" t="s">
        <v>66</v>
      </c>
      <c r="E176" t="s">
        <v>28</v>
      </c>
    </row>
    <row r="177" spans="1:5" x14ac:dyDescent="0.25">
      <c r="A177">
        <v>9229</v>
      </c>
      <c r="B177" t="s">
        <v>52</v>
      </c>
      <c r="C177">
        <v>608</v>
      </c>
      <c r="D177" t="s">
        <v>72</v>
      </c>
      <c r="E177" t="s">
        <v>28</v>
      </c>
    </row>
    <row r="178" spans="1:5" x14ac:dyDescent="0.25">
      <c r="A178">
        <v>9229</v>
      </c>
      <c r="B178" t="s">
        <v>52</v>
      </c>
      <c r="C178">
        <v>392</v>
      </c>
      <c r="D178" t="s">
        <v>74</v>
      </c>
      <c r="E178" t="s">
        <v>28</v>
      </c>
    </row>
    <row r="179" spans="1:5" x14ac:dyDescent="0.25">
      <c r="A179">
        <v>9229</v>
      </c>
      <c r="B179" t="s">
        <v>52</v>
      </c>
      <c r="C179">
        <v>72</v>
      </c>
      <c r="D179" t="s">
        <v>63</v>
      </c>
      <c r="E179" t="s">
        <v>28</v>
      </c>
    </row>
    <row r="180" spans="1:5" x14ac:dyDescent="0.25">
      <c r="A180">
        <v>9235</v>
      </c>
      <c r="B180" t="s">
        <v>85</v>
      </c>
      <c r="C180">
        <v>1224</v>
      </c>
      <c r="D180" t="s">
        <v>66</v>
      </c>
      <c r="E180" t="s">
        <v>15</v>
      </c>
    </row>
    <row r="181" spans="1:5" x14ac:dyDescent="0.25">
      <c r="A181">
        <v>9235</v>
      </c>
      <c r="B181" t="s">
        <v>85</v>
      </c>
      <c r="C181">
        <v>1152</v>
      </c>
      <c r="D181" t="s">
        <v>72</v>
      </c>
      <c r="E181" t="s">
        <v>15</v>
      </c>
    </row>
    <row r="182" spans="1:5" x14ac:dyDescent="0.25">
      <c r="A182">
        <v>9235</v>
      </c>
      <c r="B182" t="s">
        <v>85</v>
      </c>
      <c r="C182">
        <v>1044</v>
      </c>
      <c r="D182" t="s">
        <v>60</v>
      </c>
      <c r="E182" t="s">
        <v>15</v>
      </c>
    </row>
    <row r="183" spans="1:5" x14ac:dyDescent="0.25">
      <c r="A183">
        <v>9237</v>
      </c>
      <c r="B183" t="s">
        <v>53</v>
      </c>
      <c r="C183">
        <v>1440</v>
      </c>
      <c r="D183" t="s">
        <v>70</v>
      </c>
      <c r="E183" t="s">
        <v>15</v>
      </c>
    </row>
    <row r="184" spans="1:5" x14ac:dyDescent="0.25">
      <c r="A184">
        <v>9237</v>
      </c>
      <c r="B184" t="s">
        <v>53</v>
      </c>
      <c r="C184">
        <v>2016</v>
      </c>
      <c r="D184" t="s">
        <v>76</v>
      </c>
      <c r="E184" t="s">
        <v>15</v>
      </c>
    </row>
    <row r="185" spans="1:5" x14ac:dyDescent="0.25">
      <c r="A185">
        <v>9237</v>
      </c>
      <c r="B185" t="s">
        <v>53</v>
      </c>
      <c r="C185">
        <v>2136</v>
      </c>
      <c r="D185" t="s">
        <v>65</v>
      </c>
      <c r="E185" t="s">
        <v>15</v>
      </c>
    </row>
    <row r="186" spans="1:5" x14ac:dyDescent="0.25">
      <c r="A186">
        <v>9237</v>
      </c>
      <c r="B186" t="s">
        <v>53</v>
      </c>
      <c r="C186">
        <v>2100</v>
      </c>
      <c r="D186" t="s">
        <v>71</v>
      </c>
      <c r="E186" t="s">
        <v>15</v>
      </c>
    </row>
    <row r="187" spans="1:5" x14ac:dyDescent="0.25">
      <c r="A187">
        <v>9241</v>
      </c>
      <c r="B187" t="s">
        <v>55</v>
      </c>
      <c r="C187">
        <v>8064</v>
      </c>
      <c r="D187" t="s">
        <v>69</v>
      </c>
      <c r="E187" t="s">
        <v>28</v>
      </c>
    </row>
    <row r="188" spans="1:5" x14ac:dyDescent="0.25">
      <c r="A188">
        <v>9241</v>
      </c>
      <c r="B188" t="s">
        <v>55</v>
      </c>
      <c r="C188">
        <v>540</v>
      </c>
      <c r="D188" t="s">
        <v>60</v>
      </c>
      <c r="E188" t="s">
        <v>28</v>
      </c>
    </row>
    <row r="189" spans="1:5" x14ac:dyDescent="0.25">
      <c r="A189">
        <v>9241</v>
      </c>
      <c r="B189" t="s">
        <v>55</v>
      </c>
      <c r="C189">
        <v>4032</v>
      </c>
      <c r="D189" t="s">
        <v>64</v>
      </c>
      <c r="E189" t="s">
        <v>28</v>
      </c>
    </row>
    <row r="190" spans="1:5" x14ac:dyDescent="0.25">
      <c r="A190">
        <v>9241</v>
      </c>
      <c r="B190" t="s">
        <v>55</v>
      </c>
      <c r="C190">
        <v>8064</v>
      </c>
      <c r="D190" t="s">
        <v>70</v>
      </c>
      <c r="E190" t="s">
        <v>28</v>
      </c>
    </row>
    <row r="191" spans="1:5" x14ac:dyDescent="0.25">
      <c r="A191">
        <v>9242</v>
      </c>
      <c r="B191" t="s">
        <v>86</v>
      </c>
      <c r="C191">
        <v>8064</v>
      </c>
      <c r="D191" t="s">
        <v>63</v>
      </c>
      <c r="E191" t="s">
        <v>28</v>
      </c>
    </row>
    <row r="192" spans="1:5" x14ac:dyDescent="0.25">
      <c r="A192">
        <v>9242</v>
      </c>
      <c r="B192" t="s">
        <v>86</v>
      </c>
      <c r="C192">
        <v>2016</v>
      </c>
      <c r="D192" t="s">
        <v>70</v>
      </c>
      <c r="E192" t="s">
        <v>28</v>
      </c>
    </row>
    <row r="193" spans="1:5" x14ac:dyDescent="0.25">
      <c r="A193">
        <v>9242</v>
      </c>
      <c r="B193" t="s">
        <v>86</v>
      </c>
      <c r="C193">
        <v>6048</v>
      </c>
      <c r="D193" t="s">
        <v>76</v>
      </c>
      <c r="E193" t="s">
        <v>28</v>
      </c>
    </row>
    <row r="194" spans="1:5" x14ac:dyDescent="0.25">
      <c r="A194">
        <v>9243</v>
      </c>
      <c r="B194" t="s">
        <v>87</v>
      </c>
      <c r="C194">
        <v>4032</v>
      </c>
      <c r="D194" t="s">
        <v>59</v>
      </c>
      <c r="E194" t="s">
        <v>28</v>
      </c>
    </row>
    <row r="195" spans="1:5" x14ac:dyDescent="0.25">
      <c r="A195">
        <v>9243</v>
      </c>
      <c r="B195" t="s">
        <v>87</v>
      </c>
      <c r="C195">
        <v>4032</v>
      </c>
      <c r="D195" t="s">
        <v>69</v>
      </c>
      <c r="E195" t="s">
        <v>28</v>
      </c>
    </row>
    <row r="196" spans="1:5" x14ac:dyDescent="0.25">
      <c r="A196">
        <v>9243</v>
      </c>
      <c r="B196" t="s">
        <v>87</v>
      </c>
      <c r="C196">
        <v>8064</v>
      </c>
      <c r="D196" t="s">
        <v>64</v>
      </c>
      <c r="E196" t="s">
        <v>28</v>
      </c>
    </row>
    <row r="197" spans="1:5" x14ac:dyDescent="0.25">
      <c r="A197">
        <v>9270</v>
      </c>
      <c r="B197" t="s">
        <v>88</v>
      </c>
      <c r="C197">
        <v>64</v>
      </c>
      <c r="D197" t="s">
        <v>63</v>
      </c>
      <c r="E197" t="s">
        <v>28</v>
      </c>
    </row>
    <row r="198" spans="1:5" x14ac:dyDescent="0.25">
      <c r="A198">
        <v>13811</v>
      </c>
      <c r="B198" t="s">
        <v>89</v>
      </c>
      <c r="C198">
        <v>420</v>
      </c>
      <c r="D198" t="s">
        <v>63</v>
      </c>
      <c r="E198" t="s">
        <v>28</v>
      </c>
    </row>
    <row r="199" spans="1:5" x14ac:dyDescent="0.25">
      <c r="A199">
        <v>13815</v>
      </c>
      <c r="B199" t="s">
        <v>90</v>
      </c>
      <c r="C199">
        <v>420</v>
      </c>
      <c r="D199" t="s">
        <v>63</v>
      </c>
      <c r="E199" t="s">
        <v>28</v>
      </c>
    </row>
    <row r="200" spans="1:5" x14ac:dyDescent="0.25">
      <c r="A200">
        <v>13816</v>
      </c>
      <c r="B200" t="s">
        <v>91</v>
      </c>
      <c r="C200">
        <v>420</v>
      </c>
      <c r="D200" t="s">
        <v>63</v>
      </c>
      <c r="E200" t="s">
        <v>28</v>
      </c>
    </row>
    <row r="201" spans="1:5" x14ac:dyDescent="0.25">
      <c r="A201">
        <v>13817</v>
      </c>
      <c r="B201" t="s">
        <v>92</v>
      </c>
      <c r="C201">
        <v>420</v>
      </c>
      <c r="D201" t="s">
        <v>63</v>
      </c>
      <c r="E201" t="s">
        <v>28</v>
      </c>
    </row>
    <row r="202" spans="1:5" x14ac:dyDescent="0.25">
      <c r="A202">
        <v>2283</v>
      </c>
      <c r="B202" t="s">
        <v>5</v>
      </c>
      <c r="C202">
        <v>560</v>
      </c>
      <c r="D202" t="s">
        <v>93</v>
      </c>
      <c r="E202" t="s">
        <v>7</v>
      </c>
    </row>
    <row r="203" spans="1:5" x14ac:dyDescent="0.25">
      <c r="A203">
        <v>2285</v>
      </c>
      <c r="B203" t="s">
        <v>9</v>
      </c>
      <c r="C203">
        <v>968</v>
      </c>
      <c r="D203" t="s">
        <v>94</v>
      </c>
      <c r="E203" t="s">
        <v>7</v>
      </c>
    </row>
    <row r="204" spans="1:5" x14ac:dyDescent="0.25">
      <c r="A204">
        <v>2543</v>
      </c>
      <c r="B204" t="s">
        <v>10</v>
      </c>
      <c r="C204">
        <v>240</v>
      </c>
      <c r="D204" t="s">
        <v>93</v>
      </c>
      <c r="E204" t="s">
        <v>7</v>
      </c>
    </row>
    <row r="205" spans="1:5" x14ac:dyDescent="0.25">
      <c r="A205">
        <v>2553</v>
      </c>
      <c r="B205" t="s">
        <v>11</v>
      </c>
      <c r="C205">
        <v>1170</v>
      </c>
      <c r="D205" t="s">
        <v>94</v>
      </c>
      <c r="E205" t="s">
        <v>7</v>
      </c>
    </row>
    <row r="206" spans="1:5" x14ac:dyDescent="0.25">
      <c r="A206">
        <v>2738</v>
      </c>
      <c r="B206" t="s">
        <v>16</v>
      </c>
      <c r="C206">
        <v>645</v>
      </c>
      <c r="D206" t="s">
        <v>95</v>
      </c>
      <c r="E206" t="s">
        <v>15</v>
      </c>
    </row>
    <row r="207" spans="1:5" x14ac:dyDescent="0.25">
      <c r="A207">
        <v>4808</v>
      </c>
      <c r="B207" t="s">
        <v>24</v>
      </c>
      <c r="C207">
        <v>1872</v>
      </c>
      <c r="D207" t="s">
        <v>93</v>
      </c>
      <c r="E207" t="s">
        <v>25</v>
      </c>
    </row>
    <row r="208" spans="1:5" x14ac:dyDescent="0.25">
      <c r="A208">
        <v>4855</v>
      </c>
      <c r="B208" t="s">
        <v>26</v>
      </c>
      <c r="C208">
        <v>2392</v>
      </c>
      <c r="D208" t="s">
        <v>93</v>
      </c>
      <c r="E208" t="s">
        <v>25</v>
      </c>
    </row>
    <row r="209" spans="1:5" x14ac:dyDescent="0.25">
      <c r="A209">
        <v>4855</v>
      </c>
      <c r="B209" t="s">
        <v>26</v>
      </c>
      <c r="C209">
        <v>3216</v>
      </c>
      <c r="D209" t="s">
        <v>95</v>
      </c>
      <c r="E209" t="s">
        <v>25</v>
      </c>
    </row>
    <row r="210" spans="1:5" x14ac:dyDescent="0.25">
      <c r="A210">
        <v>9001</v>
      </c>
      <c r="B210" t="s">
        <v>29</v>
      </c>
      <c r="C210">
        <v>5904</v>
      </c>
      <c r="D210" t="s">
        <v>96</v>
      </c>
      <c r="E210" t="s">
        <v>28</v>
      </c>
    </row>
    <row r="211" spans="1:5" x14ac:dyDescent="0.25">
      <c r="A211">
        <v>9001</v>
      </c>
      <c r="B211" t="s">
        <v>29</v>
      </c>
      <c r="C211">
        <v>6912</v>
      </c>
      <c r="D211" t="s">
        <v>93</v>
      </c>
      <c r="E211" t="s">
        <v>28</v>
      </c>
    </row>
    <row r="212" spans="1:5" x14ac:dyDescent="0.25">
      <c r="A212">
        <v>9001</v>
      </c>
      <c r="B212" t="s">
        <v>29</v>
      </c>
      <c r="C212">
        <v>6912</v>
      </c>
      <c r="D212" t="s">
        <v>94</v>
      </c>
      <c r="E212" t="s">
        <v>28</v>
      </c>
    </row>
    <row r="213" spans="1:5" x14ac:dyDescent="0.25">
      <c r="A213">
        <v>9001</v>
      </c>
      <c r="B213" t="s">
        <v>29</v>
      </c>
      <c r="C213">
        <v>8424</v>
      </c>
      <c r="D213" t="s">
        <v>95</v>
      </c>
      <c r="E213" t="s">
        <v>28</v>
      </c>
    </row>
    <row r="214" spans="1:5" x14ac:dyDescent="0.25">
      <c r="A214">
        <v>9003</v>
      </c>
      <c r="B214" t="s">
        <v>32</v>
      </c>
      <c r="C214">
        <v>1584</v>
      </c>
      <c r="D214" t="s">
        <v>95</v>
      </c>
      <c r="E214" t="s">
        <v>28</v>
      </c>
    </row>
    <row r="215" spans="1:5" x14ac:dyDescent="0.25">
      <c r="A215">
        <v>9005</v>
      </c>
      <c r="B215" t="s">
        <v>34</v>
      </c>
      <c r="C215">
        <v>684</v>
      </c>
      <c r="D215" t="s">
        <v>95</v>
      </c>
      <c r="E215" t="s">
        <v>28</v>
      </c>
    </row>
    <row r="216" spans="1:5" x14ac:dyDescent="0.25">
      <c r="A216">
        <v>9011</v>
      </c>
      <c r="B216" t="s">
        <v>78</v>
      </c>
      <c r="C216">
        <v>2016</v>
      </c>
      <c r="D216" t="s">
        <v>95</v>
      </c>
      <c r="E216" t="s">
        <v>28</v>
      </c>
    </row>
    <row r="217" spans="1:5" x14ac:dyDescent="0.25">
      <c r="A217">
        <v>9034</v>
      </c>
      <c r="B217" t="s">
        <v>82</v>
      </c>
      <c r="C217">
        <v>7200</v>
      </c>
      <c r="D217" t="s">
        <v>96</v>
      </c>
      <c r="E217" t="s">
        <v>15</v>
      </c>
    </row>
    <row r="218" spans="1:5" x14ac:dyDescent="0.25">
      <c r="A218">
        <v>9034</v>
      </c>
      <c r="B218" t="s">
        <v>82</v>
      </c>
      <c r="C218">
        <v>720</v>
      </c>
      <c r="D218" t="s">
        <v>95</v>
      </c>
      <c r="E218" t="s">
        <v>15</v>
      </c>
    </row>
    <row r="219" spans="1:5" x14ac:dyDescent="0.25">
      <c r="A219">
        <v>9213</v>
      </c>
      <c r="B219" t="s">
        <v>84</v>
      </c>
      <c r="C219">
        <v>957</v>
      </c>
      <c r="D219" t="s">
        <v>94</v>
      </c>
      <c r="E219" t="s">
        <v>15</v>
      </c>
    </row>
    <row r="220" spans="1:5" x14ac:dyDescent="0.25">
      <c r="A220">
        <v>9229</v>
      </c>
      <c r="B220" t="s">
        <v>52</v>
      </c>
      <c r="C220">
        <v>264</v>
      </c>
      <c r="D220" t="s">
        <v>96</v>
      </c>
      <c r="E220" t="s">
        <v>28</v>
      </c>
    </row>
    <row r="221" spans="1:5" x14ac:dyDescent="0.25">
      <c r="A221">
        <v>9237</v>
      </c>
      <c r="B221" t="s">
        <v>53</v>
      </c>
      <c r="C221">
        <v>576</v>
      </c>
      <c r="D221" t="s">
        <v>94</v>
      </c>
      <c r="E221" t="s">
        <v>15</v>
      </c>
    </row>
    <row r="222" spans="1:5" x14ac:dyDescent="0.25">
      <c r="A222">
        <v>9241</v>
      </c>
      <c r="B222" t="s">
        <v>55</v>
      </c>
      <c r="C222">
        <v>4032</v>
      </c>
      <c r="D222" t="s">
        <v>96</v>
      </c>
      <c r="E222" t="s">
        <v>28</v>
      </c>
    </row>
    <row r="223" spans="1:5" x14ac:dyDescent="0.25">
      <c r="A223">
        <v>9241</v>
      </c>
      <c r="B223" t="s">
        <v>55</v>
      </c>
      <c r="C223">
        <v>6048</v>
      </c>
      <c r="D223" t="s">
        <v>94</v>
      </c>
      <c r="E223" t="s">
        <v>28</v>
      </c>
    </row>
    <row r="224" spans="1:5" x14ac:dyDescent="0.25">
      <c r="A224">
        <v>9241</v>
      </c>
      <c r="B224" t="s">
        <v>55</v>
      </c>
      <c r="C224">
        <v>4032</v>
      </c>
      <c r="D224" t="s">
        <v>93</v>
      </c>
      <c r="E224" t="s">
        <v>28</v>
      </c>
    </row>
    <row r="225" spans="1:5" x14ac:dyDescent="0.25">
      <c r="A225">
        <v>9284</v>
      </c>
      <c r="B225" t="s">
        <v>97</v>
      </c>
      <c r="C225">
        <v>3096</v>
      </c>
      <c r="D225" t="s">
        <v>94</v>
      </c>
      <c r="E225" t="s">
        <v>15</v>
      </c>
    </row>
    <row r="226" spans="1:5" x14ac:dyDescent="0.25">
      <c r="A226">
        <v>9284</v>
      </c>
      <c r="B226" t="s">
        <v>97</v>
      </c>
      <c r="C226">
        <v>1824</v>
      </c>
      <c r="D226" t="s">
        <v>93</v>
      </c>
      <c r="E226" t="s">
        <v>15</v>
      </c>
    </row>
    <row r="227" spans="1:5" x14ac:dyDescent="0.25">
      <c r="A227">
        <v>9284</v>
      </c>
      <c r="B227" t="s">
        <v>97</v>
      </c>
      <c r="C227">
        <v>708</v>
      </c>
      <c r="D227" t="s">
        <v>95</v>
      </c>
      <c r="E227" t="s">
        <v>15</v>
      </c>
    </row>
    <row r="228" spans="1:5" x14ac:dyDescent="0.25">
      <c r="A228">
        <v>2283</v>
      </c>
      <c r="B228" t="s">
        <v>5</v>
      </c>
      <c r="C228">
        <v>560</v>
      </c>
      <c r="D228" t="s">
        <v>98</v>
      </c>
      <c r="E228" t="s">
        <v>7</v>
      </c>
    </row>
    <row r="229" spans="1:5" x14ac:dyDescent="0.25">
      <c r="A229">
        <v>2283</v>
      </c>
      <c r="B229" t="s">
        <v>5</v>
      </c>
      <c r="C229">
        <v>1400</v>
      </c>
      <c r="D229" t="s">
        <v>99</v>
      </c>
      <c r="E229" t="s">
        <v>7</v>
      </c>
    </row>
    <row r="230" spans="1:5" x14ac:dyDescent="0.25">
      <c r="A230">
        <v>2543</v>
      </c>
      <c r="B230" t="s">
        <v>10</v>
      </c>
      <c r="C230">
        <v>560</v>
      </c>
      <c r="D230" t="s">
        <v>100</v>
      </c>
      <c r="E230" t="s">
        <v>7</v>
      </c>
    </row>
    <row r="231" spans="1:5" x14ac:dyDescent="0.25">
      <c r="A231">
        <v>2543</v>
      </c>
      <c r="B231" t="s">
        <v>10</v>
      </c>
      <c r="C231">
        <v>280</v>
      </c>
      <c r="D231" t="s">
        <v>101</v>
      </c>
      <c r="E231" t="s">
        <v>7</v>
      </c>
    </row>
    <row r="232" spans="1:5" x14ac:dyDescent="0.25">
      <c r="A232">
        <v>2736</v>
      </c>
      <c r="B232" t="s">
        <v>62</v>
      </c>
      <c r="C232">
        <v>5760</v>
      </c>
      <c r="D232" t="s">
        <v>102</v>
      </c>
      <c r="E232" t="s">
        <v>15</v>
      </c>
    </row>
    <row r="233" spans="1:5" x14ac:dyDescent="0.25">
      <c r="A233">
        <v>2736</v>
      </c>
      <c r="B233" t="s">
        <v>62</v>
      </c>
      <c r="C233">
        <v>4116</v>
      </c>
      <c r="D233" t="s">
        <v>103</v>
      </c>
      <c r="E233" t="s">
        <v>15</v>
      </c>
    </row>
    <row r="234" spans="1:5" x14ac:dyDescent="0.25">
      <c r="A234">
        <v>2736</v>
      </c>
      <c r="B234" t="s">
        <v>62</v>
      </c>
      <c r="C234">
        <v>5484</v>
      </c>
      <c r="D234" t="s">
        <v>104</v>
      </c>
      <c r="E234" t="s">
        <v>15</v>
      </c>
    </row>
    <row r="235" spans="1:5" x14ac:dyDescent="0.25">
      <c r="A235">
        <v>2736</v>
      </c>
      <c r="B235" t="s">
        <v>62</v>
      </c>
      <c r="C235">
        <v>6132</v>
      </c>
      <c r="D235" t="s">
        <v>105</v>
      </c>
      <c r="E235" t="s">
        <v>15</v>
      </c>
    </row>
    <row r="236" spans="1:5" x14ac:dyDescent="0.25">
      <c r="A236">
        <v>2736</v>
      </c>
      <c r="B236" t="s">
        <v>62</v>
      </c>
      <c r="C236">
        <v>4800</v>
      </c>
      <c r="D236" t="s">
        <v>106</v>
      </c>
      <c r="E236" t="s">
        <v>15</v>
      </c>
    </row>
    <row r="237" spans="1:5" x14ac:dyDescent="0.25">
      <c r="A237">
        <v>2738</v>
      </c>
      <c r="B237" t="s">
        <v>16</v>
      </c>
      <c r="C237">
        <v>375</v>
      </c>
      <c r="D237" t="s">
        <v>103</v>
      </c>
      <c r="E237" t="s">
        <v>15</v>
      </c>
    </row>
    <row r="238" spans="1:5" x14ac:dyDescent="0.25">
      <c r="A238">
        <v>2738</v>
      </c>
      <c r="B238" t="s">
        <v>16</v>
      </c>
      <c r="C238">
        <v>345</v>
      </c>
      <c r="D238" t="s">
        <v>104</v>
      </c>
      <c r="E238" t="s">
        <v>15</v>
      </c>
    </row>
    <row r="239" spans="1:5" x14ac:dyDescent="0.25">
      <c r="A239">
        <v>2738</v>
      </c>
      <c r="B239" t="s">
        <v>16</v>
      </c>
      <c r="C239">
        <v>2160</v>
      </c>
      <c r="D239" t="s">
        <v>107</v>
      </c>
      <c r="E239" t="s">
        <v>15</v>
      </c>
    </row>
    <row r="240" spans="1:5" x14ac:dyDescent="0.25">
      <c r="A240">
        <v>2738</v>
      </c>
      <c r="B240" t="s">
        <v>16</v>
      </c>
      <c r="C240">
        <v>1905</v>
      </c>
      <c r="D240" t="s">
        <v>108</v>
      </c>
      <c r="E240" t="s">
        <v>15</v>
      </c>
    </row>
    <row r="241" spans="1:5" x14ac:dyDescent="0.25">
      <c r="A241">
        <v>2738</v>
      </c>
      <c r="B241" t="s">
        <v>16</v>
      </c>
      <c r="C241">
        <v>1110</v>
      </c>
      <c r="D241" t="s">
        <v>98</v>
      </c>
      <c r="E241" t="s">
        <v>15</v>
      </c>
    </row>
    <row r="242" spans="1:5" x14ac:dyDescent="0.25">
      <c r="A242">
        <v>2738</v>
      </c>
      <c r="B242" t="s">
        <v>16</v>
      </c>
      <c r="C242">
        <v>720</v>
      </c>
      <c r="D242" t="s">
        <v>109</v>
      </c>
      <c r="E242" t="s">
        <v>15</v>
      </c>
    </row>
    <row r="243" spans="1:5" x14ac:dyDescent="0.25">
      <c r="A243">
        <v>2738</v>
      </c>
      <c r="B243" t="s">
        <v>16</v>
      </c>
      <c r="C243">
        <v>420</v>
      </c>
      <c r="D243" t="s">
        <v>100</v>
      </c>
      <c r="E243" t="s">
        <v>15</v>
      </c>
    </row>
    <row r="244" spans="1:5" x14ac:dyDescent="0.25">
      <c r="A244">
        <v>2738</v>
      </c>
      <c r="B244" t="s">
        <v>16</v>
      </c>
      <c r="C244">
        <v>720</v>
      </c>
      <c r="D244" t="s">
        <v>110</v>
      </c>
      <c r="E244" t="s">
        <v>15</v>
      </c>
    </row>
    <row r="245" spans="1:5" x14ac:dyDescent="0.25">
      <c r="A245">
        <v>2738</v>
      </c>
      <c r="B245" t="s">
        <v>16</v>
      </c>
      <c r="C245">
        <v>5340</v>
      </c>
      <c r="D245" t="s">
        <v>101</v>
      </c>
      <c r="E245" t="s">
        <v>15</v>
      </c>
    </row>
    <row r="246" spans="1:5" x14ac:dyDescent="0.25">
      <c r="A246">
        <v>2738</v>
      </c>
      <c r="B246" t="s">
        <v>16</v>
      </c>
      <c r="C246">
        <v>2925</v>
      </c>
      <c r="D246" t="s">
        <v>111</v>
      </c>
      <c r="E246" t="s">
        <v>15</v>
      </c>
    </row>
    <row r="247" spans="1:5" x14ac:dyDescent="0.25">
      <c r="A247">
        <v>2738</v>
      </c>
      <c r="B247" t="s">
        <v>16</v>
      </c>
      <c r="C247">
        <v>1440</v>
      </c>
      <c r="D247" t="s">
        <v>112</v>
      </c>
      <c r="E247" t="s">
        <v>15</v>
      </c>
    </row>
    <row r="248" spans="1:5" x14ac:dyDescent="0.25">
      <c r="A248">
        <v>2738</v>
      </c>
      <c r="B248" t="s">
        <v>16</v>
      </c>
      <c r="C248">
        <v>720</v>
      </c>
      <c r="D248" t="s">
        <v>113</v>
      </c>
      <c r="E248" t="s">
        <v>15</v>
      </c>
    </row>
    <row r="249" spans="1:5" x14ac:dyDescent="0.25">
      <c r="A249">
        <v>4808</v>
      </c>
      <c r="B249" t="s">
        <v>24</v>
      </c>
      <c r="C249">
        <v>824</v>
      </c>
      <c r="D249" t="s">
        <v>107</v>
      </c>
      <c r="E249" t="s">
        <v>25</v>
      </c>
    </row>
    <row r="250" spans="1:5" x14ac:dyDescent="0.25">
      <c r="A250">
        <v>4808</v>
      </c>
      <c r="B250" t="s">
        <v>24</v>
      </c>
      <c r="C250">
        <v>1120</v>
      </c>
      <c r="D250" t="s">
        <v>98</v>
      </c>
      <c r="E250" t="s">
        <v>25</v>
      </c>
    </row>
    <row r="251" spans="1:5" x14ac:dyDescent="0.25">
      <c r="A251">
        <v>4808</v>
      </c>
      <c r="B251" t="s">
        <v>24</v>
      </c>
      <c r="C251">
        <v>840</v>
      </c>
      <c r="D251" t="s">
        <v>114</v>
      </c>
      <c r="E251" t="s">
        <v>25</v>
      </c>
    </row>
    <row r="252" spans="1:5" x14ac:dyDescent="0.25">
      <c r="A252">
        <v>4808</v>
      </c>
      <c r="B252" t="s">
        <v>24</v>
      </c>
      <c r="C252">
        <v>8</v>
      </c>
      <c r="D252" t="s">
        <v>114</v>
      </c>
      <c r="E252" t="s">
        <v>25</v>
      </c>
    </row>
    <row r="253" spans="1:5" x14ac:dyDescent="0.25">
      <c r="A253">
        <v>4808</v>
      </c>
      <c r="B253" t="s">
        <v>24</v>
      </c>
      <c r="C253">
        <v>1984</v>
      </c>
      <c r="D253" t="s">
        <v>99</v>
      </c>
      <c r="E253" t="s">
        <v>25</v>
      </c>
    </row>
    <row r="254" spans="1:5" x14ac:dyDescent="0.25">
      <c r="A254">
        <v>4808</v>
      </c>
      <c r="B254" t="s">
        <v>24</v>
      </c>
      <c r="C254">
        <v>1024</v>
      </c>
      <c r="D254" t="s">
        <v>112</v>
      </c>
      <c r="E254" t="s">
        <v>25</v>
      </c>
    </row>
    <row r="255" spans="1:5" x14ac:dyDescent="0.25">
      <c r="A255">
        <v>4808</v>
      </c>
      <c r="B255" t="s">
        <v>24</v>
      </c>
      <c r="C255">
        <v>1096</v>
      </c>
      <c r="D255" t="s">
        <v>113</v>
      </c>
      <c r="E255" t="s">
        <v>25</v>
      </c>
    </row>
    <row r="256" spans="1:5" x14ac:dyDescent="0.25">
      <c r="A256">
        <v>4855</v>
      </c>
      <c r="B256" t="s">
        <v>26</v>
      </c>
      <c r="C256">
        <v>3008</v>
      </c>
      <c r="D256" t="s">
        <v>103</v>
      </c>
      <c r="E256" t="s">
        <v>25</v>
      </c>
    </row>
    <row r="257" spans="1:5" x14ac:dyDescent="0.25">
      <c r="A257">
        <v>4855</v>
      </c>
      <c r="B257" t="s">
        <v>26</v>
      </c>
      <c r="C257">
        <v>1680</v>
      </c>
      <c r="D257" t="s">
        <v>107</v>
      </c>
      <c r="E257" t="s">
        <v>25</v>
      </c>
    </row>
    <row r="258" spans="1:5" x14ac:dyDescent="0.25">
      <c r="A258">
        <v>4855</v>
      </c>
      <c r="B258" t="s">
        <v>26</v>
      </c>
      <c r="C258">
        <v>1576</v>
      </c>
      <c r="D258" t="s">
        <v>108</v>
      </c>
      <c r="E258" t="s">
        <v>25</v>
      </c>
    </row>
    <row r="259" spans="1:5" x14ac:dyDescent="0.25">
      <c r="A259">
        <v>4855</v>
      </c>
      <c r="B259" t="s">
        <v>26</v>
      </c>
      <c r="C259">
        <v>2280</v>
      </c>
      <c r="D259" t="s">
        <v>109</v>
      </c>
      <c r="E259" t="s">
        <v>25</v>
      </c>
    </row>
    <row r="260" spans="1:5" x14ac:dyDescent="0.25">
      <c r="A260">
        <v>4855</v>
      </c>
      <c r="B260" t="s">
        <v>26</v>
      </c>
      <c r="C260">
        <v>1120</v>
      </c>
      <c r="D260" t="s">
        <v>100</v>
      </c>
      <c r="E260" t="s">
        <v>25</v>
      </c>
    </row>
    <row r="261" spans="1:5" x14ac:dyDescent="0.25">
      <c r="A261">
        <v>4855</v>
      </c>
      <c r="B261" t="s">
        <v>26</v>
      </c>
      <c r="C261">
        <v>1600</v>
      </c>
      <c r="D261" t="s">
        <v>105</v>
      </c>
      <c r="E261" t="s">
        <v>25</v>
      </c>
    </row>
    <row r="262" spans="1:5" x14ac:dyDescent="0.25">
      <c r="A262">
        <v>4855</v>
      </c>
      <c r="B262" t="s">
        <v>26</v>
      </c>
      <c r="C262">
        <v>464</v>
      </c>
      <c r="D262" t="s">
        <v>101</v>
      </c>
      <c r="E262" t="s">
        <v>25</v>
      </c>
    </row>
    <row r="263" spans="1:5" x14ac:dyDescent="0.25">
      <c r="A263">
        <v>4906</v>
      </c>
      <c r="B263" t="s">
        <v>73</v>
      </c>
      <c r="C263">
        <v>7680</v>
      </c>
      <c r="D263" t="s">
        <v>111</v>
      </c>
      <c r="E263" t="s">
        <v>25</v>
      </c>
    </row>
    <row r="264" spans="1:5" x14ac:dyDescent="0.25">
      <c r="A264">
        <v>4906</v>
      </c>
      <c r="B264" t="s">
        <v>73</v>
      </c>
      <c r="C264">
        <v>5580</v>
      </c>
      <c r="D264" t="s">
        <v>112</v>
      </c>
      <c r="E264" t="s">
        <v>25</v>
      </c>
    </row>
    <row r="265" spans="1:5" x14ac:dyDescent="0.25">
      <c r="A265">
        <v>9001</v>
      </c>
      <c r="B265" t="s">
        <v>29</v>
      </c>
      <c r="C265">
        <v>900</v>
      </c>
      <c r="D265" t="s">
        <v>102</v>
      </c>
      <c r="E265" t="s">
        <v>28</v>
      </c>
    </row>
    <row r="266" spans="1:5" x14ac:dyDescent="0.25">
      <c r="A266">
        <v>9001</v>
      </c>
      <c r="B266" t="s">
        <v>29</v>
      </c>
      <c r="C266">
        <v>1692</v>
      </c>
      <c r="D266" t="s">
        <v>104</v>
      </c>
      <c r="E266" t="s">
        <v>28</v>
      </c>
    </row>
    <row r="267" spans="1:5" x14ac:dyDescent="0.25">
      <c r="A267">
        <v>9001</v>
      </c>
      <c r="B267" t="s">
        <v>29</v>
      </c>
      <c r="C267">
        <v>3528</v>
      </c>
      <c r="D267" t="s">
        <v>107</v>
      </c>
      <c r="E267" t="s">
        <v>28</v>
      </c>
    </row>
    <row r="268" spans="1:5" x14ac:dyDescent="0.25">
      <c r="A268">
        <v>9001</v>
      </c>
      <c r="B268" t="s">
        <v>29</v>
      </c>
      <c r="C268">
        <v>5184</v>
      </c>
      <c r="D268" t="s">
        <v>108</v>
      </c>
      <c r="E268" t="s">
        <v>28</v>
      </c>
    </row>
    <row r="269" spans="1:5" x14ac:dyDescent="0.25">
      <c r="A269">
        <v>9001</v>
      </c>
      <c r="B269" t="s">
        <v>29</v>
      </c>
      <c r="C269">
        <v>6912</v>
      </c>
      <c r="D269" t="s">
        <v>98</v>
      </c>
      <c r="E269" t="s">
        <v>28</v>
      </c>
    </row>
    <row r="270" spans="1:5" x14ac:dyDescent="0.25">
      <c r="A270">
        <v>9001</v>
      </c>
      <c r="B270" t="s">
        <v>29</v>
      </c>
      <c r="C270">
        <v>5544</v>
      </c>
      <c r="D270" t="s">
        <v>109</v>
      </c>
      <c r="E270" t="s">
        <v>28</v>
      </c>
    </row>
    <row r="271" spans="1:5" x14ac:dyDescent="0.25">
      <c r="A271">
        <v>9001</v>
      </c>
      <c r="B271" t="s">
        <v>29</v>
      </c>
      <c r="C271">
        <v>2304</v>
      </c>
      <c r="D271" t="s">
        <v>100</v>
      </c>
      <c r="E271" t="s">
        <v>28</v>
      </c>
    </row>
    <row r="272" spans="1:5" x14ac:dyDescent="0.25">
      <c r="A272">
        <v>9001</v>
      </c>
      <c r="B272" t="s">
        <v>29</v>
      </c>
      <c r="C272">
        <v>4032</v>
      </c>
      <c r="D272" t="s">
        <v>105</v>
      </c>
      <c r="E272" t="s">
        <v>28</v>
      </c>
    </row>
    <row r="273" spans="1:5" x14ac:dyDescent="0.25">
      <c r="A273">
        <v>9001</v>
      </c>
      <c r="B273" t="s">
        <v>29</v>
      </c>
      <c r="C273">
        <v>4932</v>
      </c>
      <c r="D273" t="s">
        <v>114</v>
      </c>
      <c r="E273" t="s">
        <v>28</v>
      </c>
    </row>
    <row r="274" spans="1:5" x14ac:dyDescent="0.25">
      <c r="A274">
        <v>9001</v>
      </c>
      <c r="B274" t="s">
        <v>29</v>
      </c>
      <c r="C274">
        <v>2520</v>
      </c>
      <c r="D274" t="s">
        <v>99</v>
      </c>
      <c r="E274" t="s">
        <v>28</v>
      </c>
    </row>
    <row r="275" spans="1:5" x14ac:dyDescent="0.25">
      <c r="A275">
        <v>9001</v>
      </c>
      <c r="B275" t="s">
        <v>29</v>
      </c>
      <c r="C275">
        <v>1692</v>
      </c>
      <c r="D275" t="s">
        <v>106</v>
      </c>
      <c r="E275" t="s">
        <v>28</v>
      </c>
    </row>
    <row r="276" spans="1:5" x14ac:dyDescent="0.25">
      <c r="A276">
        <v>9001</v>
      </c>
      <c r="B276" t="s">
        <v>29</v>
      </c>
      <c r="C276">
        <v>4752</v>
      </c>
      <c r="D276" t="s">
        <v>115</v>
      </c>
      <c r="E276" t="s">
        <v>28</v>
      </c>
    </row>
    <row r="277" spans="1:5" x14ac:dyDescent="0.25">
      <c r="A277">
        <v>9001</v>
      </c>
      <c r="B277" t="s">
        <v>29</v>
      </c>
      <c r="C277">
        <v>4788</v>
      </c>
      <c r="D277" t="s">
        <v>116</v>
      </c>
      <c r="E277" t="s">
        <v>28</v>
      </c>
    </row>
    <row r="278" spans="1:5" x14ac:dyDescent="0.25">
      <c r="A278">
        <v>9001</v>
      </c>
      <c r="B278" t="s">
        <v>29</v>
      </c>
      <c r="C278">
        <v>900</v>
      </c>
      <c r="D278" t="s">
        <v>117</v>
      </c>
      <c r="E278" t="s">
        <v>28</v>
      </c>
    </row>
    <row r="279" spans="1:5" x14ac:dyDescent="0.25">
      <c r="A279">
        <v>9001</v>
      </c>
      <c r="B279" t="s">
        <v>29</v>
      </c>
      <c r="C279">
        <v>6408</v>
      </c>
      <c r="D279" t="s">
        <v>113</v>
      </c>
      <c r="E279" t="s">
        <v>28</v>
      </c>
    </row>
    <row r="280" spans="1:5" x14ac:dyDescent="0.25">
      <c r="A280">
        <v>9003</v>
      </c>
      <c r="B280" t="s">
        <v>32</v>
      </c>
      <c r="C280">
        <v>180</v>
      </c>
      <c r="D280" t="s">
        <v>102</v>
      </c>
      <c r="E280" t="s">
        <v>28</v>
      </c>
    </row>
    <row r="281" spans="1:5" x14ac:dyDescent="0.25">
      <c r="A281">
        <v>9003</v>
      </c>
      <c r="B281" t="s">
        <v>32</v>
      </c>
      <c r="C281">
        <v>3240</v>
      </c>
      <c r="D281" t="s">
        <v>102</v>
      </c>
      <c r="E281" t="s">
        <v>28</v>
      </c>
    </row>
    <row r="282" spans="1:5" x14ac:dyDescent="0.25">
      <c r="A282">
        <v>9003</v>
      </c>
      <c r="B282" t="s">
        <v>32</v>
      </c>
      <c r="C282">
        <v>3420</v>
      </c>
      <c r="D282" t="s">
        <v>107</v>
      </c>
      <c r="E282" t="s">
        <v>28</v>
      </c>
    </row>
    <row r="283" spans="1:5" x14ac:dyDescent="0.25">
      <c r="A283">
        <v>9003</v>
      </c>
      <c r="B283" t="s">
        <v>32</v>
      </c>
      <c r="C283">
        <v>1188</v>
      </c>
      <c r="D283" t="s">
        <v>109</v>
      </c>
      <c r="E283" t="s">
        <v>28</v>
      </c>
    </row>
    <row r="284" spans="1:5" x14ac:dyDescent="0.25">
      <c r="A284">
        <v>9003</v>
      </c>
      <c r="B284" t="s">
        <v>32</v>
      </c>
      <c r="C284">
        <v>3240</v>
      </c>
      <c r="D284" t="s">
        <v>100</v>
      </c>
      <c r="E284" t="s">
        <v>28</v>
      </c>
    </row>
    <row r="285" spans="1:5" x14ac:dyDescent="0.25">
      <c r="A285">
        <v>9003</v>
      </c>
      <c r="B285" t="s">
        <v>32</v>
      </c>
      <c r="C285">
        <v>828</v>
      </c>
      <c r="D285" t="s">
        <v>105</v>
      </c>
      <c r="E285" t="s">
        <v>28</v>
      </c>
    </row>
    <row r="286" spans="1:5" x14ac:dyDescent="0.25">
      <c r="A286">
        <v>9003</v>
      </c>
      <c r="B286" t="s">
        <v>32</v>
      </c>
      <c r="C286">
        <v>5796</v>
      </c>
      <c r="D286" t="s">
        <v>101</v>
      </c>
      <c r="E286" t="s">
        <v>28</v>
      </c>
    </row>
    <row r="287" spans="1:5" x14ac:dyDescent="0.25">
      <c r="A287">
        <v>9003</v>
      </c>
      <c r="B287" t="s">
        <v>32</v>
      </c>
      <c r="C287">
        <v>1764</v>
      </c>
      <c r="D287" t="s">
        <v>114</v>
      </c>
      <c r="E287" t="s">
        <v>28</v>
      </c>
    </row>
    <row r="288" spans="1:5" x14ac:dyDescent="0.25">
      <c r="A288">
        <v>9003</v>
      </c>
      <c r="B288" t="s">
        <v>32</v>
      </c>
      <c r="C288">
        <v>6912</v>
      </c>
      <c r="D288" t="s">
        <v>99</v>
      </c>
      <c r="E288" t="s">
        <v>28</v>
      </c>
    </row>
    <row r="289" spans="1:5" x14ac:dyDescent="0.25">
      <c r="A289">
        <v>9003</v>
      </c>
      <c r="B289" t="s">
        <v>32</v>
      </c>
      <c r="C289">
        <v>5076</v>
      </c>
      <c r="D289" t="s">
        <v>106</v>
      </c>
      <c r="E289" t="s">
        <v>28</v>
      </c>
    </row>
    <row r="290" spans="1:5" x14ac:dyDescent="0.25">
      <c r="A290">
        <v>9003</v>
      </c>
      <c r="B290" t="s">
        <v>32</v>
      </c>
      <c r="C290">
        <v>360</v>
      </c>
      <c r="D290" t="s">
        <v>106</v>
      </c>
      <c r="E290" t="s">
        <v>28</v>
      </c>
    </row>
    <row r="291" spans="1:5" x14ac:dyDescent="0.25">
      <c r="A291">
        <v>9003</v>
      </c>
      <c r="B291" t="s">
        <v>32</v>
      </c>
      <c r="C291">
        <v>720</v>
      </c>
      <c r="D291" t="s">
        <v>115</v>
      </c>
      <c r="E291" t="s">
        <v>28</v>
      </c>
    </row>
    <row r="292" spans="1:5" x14ac:dyDescent="0.25">
      <c r="A292">
        <v>9003</v>
      </c>
      <c r="B292" t="s">
        <v>32</v>
      </c>
      <c r="C292">
        <v>1440</v>
      </c>
      <c r="D292" t="s">
        <v>116</v>
      </c>
      <c r="E292" t="s">
        <v>28</v>
      </c>
    </row>
    <row r="293" spans="1:5" x14ac:dyDescent="0.25">
      <c r="A293">
        <v>9004</v>
      </c>
      <c r="B293" t="s">
        <v>33</v>
      </c>
      <c r="C293">
        <v>1512</v>
      </c>
      <c r="D293" t="s">
        <v>102</v>
      </c>
      <c r="E293" t="s">
        <v>28</v>
      </c>
    </row>
    <row r="294" spans="1:5" x14ac:dyDescent="0.25">
      <c r="A294">
        <v>9004</v>
      </c>
      <c r="B294" t="s">
        <v>33</v>
      </c>
      <c r="C294">
        <v>2304</v>
      </c>
      <c r="D294" t="s">
        <v>105</v>
      </c>
      <c r="E294" t="s">
        <v>28</v>
      </c>
    </row>
    <row r="295" spans="1:5" x14ac:dyDescent="0.25">
      <c r="A295">
        <v>9004</v>
      </c>
      <c r="B295" t="s">
        <v>33</v>
      </c>
      <c r="C295">
        <v>2628</v>
      </c>
      <c r="D295" t="s">
        <v>106</v>
      </c>
      <c r="E295" t="s">
        <v>28</v>
      </c>
    </row>
    <row r="296" spans="1:5" x14ac:dyDescent="0.25">
      <c r="A296">
        <v>9004</v>
      </c>
      <c r="B296" t="s">
        <v>33</v>
      </c>
      <c r="C296">
        <v>684</v>
      </c>
      <c r="D296" t="s">
        <v>116</v>
      </c>
      <c r="E296" t="s">
        <v>28</v>
      </c>
    </row>
    <row r="297" spans="1:5" x14ac:dyDescent="0.25">
      <c r="A297">
        <v>9005</v>
      </c>
      <c r="B297" t="s">
        <v>34</v>
      </c>
      <c r="C297">
        <v>900</v>
      </c>
      <c r="D297" t="s">
        <v>101</v>
      </c>
      <c r="E297" t="s">
        <v>28</v>
      </c>
    </row>
    <row r="298" spans="1:5" x14ac:dyDescent="0.25">
      <c r="A298">
        <v>9009</v>
      </c>
      <c r="B298" t="s">
        <v>77</v>
      </c>
      <c r="C298">
        <v>900</v>
      </c>
      <c r="D298" t="s">
        <v>107</v>
      </c>
      <c r="E298" t="s">
        <v>28</v>
      </c>
    </row>
    <row r="299" spans="1:5" x14ac:dyDescent="0.25">
      <c r="A299">
        <v>9009</v>
      </c>
      <c r="B299" t="s">
        <v>77</v>
      </c>
      <c r="C299">
        <v>612</v>
      </c>
      <c r="D299" t="s">
        <v>115</v>
      </c>
      <c r="E299" t="s">
        <v>28</v>
      </c>
    </row>
    <row r="300" spans="1:5" x14ac:dyDescent="0.25">
      <c r="A300">
        <v>9011</v>
      </c>
      <c r="B300" t="s">
        <v>78</v>
      </c>
      <c r="C300">
        <v>3132</v>
      </c>
      <c r="D300" t="s">
        <v>102</v>
      </c>
      <c r="E300" t="s">
        <v>28</v>
      </c>
    </row>
    <row r="301" spans="1:5" x14ac:dyDescent="0.25">
      <c r="A301">
        <v>9011</v>
      </c>
      <c r="B301" t="s">
        <v>78</v>
      </c>
      <c r="C301">
        <v>432</v>
      </c>
      <c r="D301" t="s">
        <v>104</v>
      </c>
      <c r="E301" t="s">
        <v>28</v>
      </c>
    </row>
    <row r="302" spans="1:5" x14ac:dyDescent="0.25">
      <c r="A302">
        <v>9011</v>
      </c>
      <c r="B302" t="s">
        <v>78</v>
      </c>
      <c r="C302">
        <v>1080</v>
      </c>
      <c r="D302" t="s">
        <v>105</v>
      </c>
      <c r="E302" t="s">
        <v>28</v>
      </c>
    </row>
    <row r="303" spans="1:5" x14ac:dyDescent="0.25">
      <c r="A303">
        <v>9011</v>
      </c>
      <c r="B303" t="s">
        <v>78</v>
      </c>
      <c r="C303">
        <v>2412</v>
      </c>
      <c r="D303" t="s">
        <v>99</v>
      </c>
      <c r="E303" t="s">
        <v>28</v>
      </c>
    </row>
    <row r="304" spans="1:5" x14ac:dyDescent="0.25">
      <c r="A304">
        <v>9011</v>
      </c>
      <c r="B304" t="s">
        <v>78</v>
      </c>
      <c r="C304">
        <v>72</v>
      </c>
      <c r="D304" t="s">
        <v>99</v>
      </c>
      <c r="E304" t="s">
        <v>28</v>
      </c>
    </row>
    <row r="305" spans="1:5" x14ac:dyDescent="0.25">
      <c r="A305">
        <v>9011</v>
      </c>
      <c r="B305" t="s">
        <v>78</v>
      </c>
      <c r="C305">
        <v>936</v>
      </c>
      <c r="D305" t="s">
        <v>115</v>
      </c>
      <c r="E305" t="s">
        <v>28</v>
      </c>
    </row>
    <row r="306" spans="1:5" x14ac:dyDescent="0.25">
      <c r="A306">
        <v>9013</v>
      </c>
      <c r="B306" t="s">
        <v>35</v>
      </c>
      <c r="C306">
        <v>1620</v>
      </c>
      <c r="D306" t="s">
        <v>115</v>
      </c>
      <c r="E306" t="s">
        <v>28</v>
      </c>
    </row>
    <row r="307" spans="1:5" x14ac:dyDescent="0.25">
      <c r="A307">
        <v>9019</v>
      </c>
      <c r="B307" t="s">
        <v>37</v>
      </c>
      <c r="C307">
        <v>5688</v>
      </c>
      <c r="D307" t="s">
        <v>104</v>
      </c>
      <c r="E307" t="s">
        <v>28</v>
      </c>
    </row>
    <row r="308" spans="1:5" x14ac:dyDescent="0.25">
      <c r="A308">
        <v>9019</v>
      </c>
      <c r="B308" t="s">
        <v>37</v>
      </c>
      <c r="C308">
        <v>2520</v>
      </c>
      <c r="D308" t="s">
        <v>100</v>
      </c>
      <c r="E308" t="s">
        <v>28</v>
      </c>
    </row>
    <row r="309" spans="1:5" x14ac:dyDescent="0.25">
      <c r="A309">
        <v>9019</v>
      </c>
      <c r="B309" t="s">
        <v>37</v>
      </c>
      <c r="C309">
        <v>2808</v>
      </c>
      <c r="D309" t="s">
        <v>101</v>
      </c>
      <c r="E309" t="s">
        <v>28</v>
      </c>
    </row>
    <row r="310" spans="1:5" x14ac:dyDescent="0.25">
      <c r="A310">
        <v>9019</v>
      </c>
      <c r="B310" t="s">
        <v>37</v>
      </c>
      <c r="C310">
        <v>3456</v>
      </c>
      <c r="D310" t="s">
        <v>114</v>
      </c>
      <c r="E310" t="s">
        <v>28</v>
      </c>
    </row>
    <row r="311" spans="1:5" x14ac:dyDescent="0.25">
      <c r="A311">
        <v>9019</v>
      </c>
      <c r="B311" t="s">
        <v>37</v>
      </c>
      <c r="C311">
        <v>1944</v>
      </c>
      <c r="D311" t="s">
        <v>106</v>
      </c>
      <c r="E311" t="s">
        <v>28</v>
      </c>
    </row>
    <row r="312" spans="1:5" x14ac:dyDescent="0.25">
      <c r="A312">
        <v>9019</v>
      </c>
      <c r="B312" t="s">
        <v>37</v>
      </c>
      <c r="C312">
        <v>2304</v>
      </c>
      <c r="D312" t="s">
        <v>115</v>
      </c>
      <c r="E312" t="s">
        <v>28</v>
      </c>
    </row>
    <row r="313" spans="1:5" x14ac:dyDescent="0.25">
      <c r="A313">
        <v>9019</v>
      </c>
      <c r="B313" t="s">
        <v>37</v>
      </c>
      <c r="C313">
        <v>5688</v>
      </c>
      <c r="D313" t="s">
        <v>116</v>
      </c>
      <c r="E313" t="s">
        <v>28</v>
      </c>
    </row>
    <row r="314" spans="1:5" x14ac:dyDescent="0.25">
      <c r="A314">
        <v>9021</v>
      </c>
      <c r="B314" t="s">
        <v>38</v>
      </c>
      <c r="C314">
        <v>2052</v>
      </c>
      <c r="D314" t="s">
        <v>104</v>
      </c>
      <c r="E314" t="s">
        <v>28</v>
      </c>
    </row>
    <row r="315" spans="1:5" x14ac:dyDescent="0.25">
      <c r="A315">
        <v>9021</v>
      </c>
      <c r="B315" t="s">
        <v>38</v>
      </c>
      <c r="C315">
        <v>1008</v>
      </c>
      <c r="D315" t="s">
        <v>101</v>
      </c>
      <c r="E315" t="s">
        <v>28</v>
      </c>
    </row>
    <row r="316" spans="1:5" x14ac:dyDescent="0.25">
      <c r="A316">
        <v>9023</v>
      </c>
      <c r="B316" t="s">
        <v>118</v>
      </c>
      <c r="C316">
        <v>2304</v>
      </c>
      <c r="D316" t="s">
        <v>102</v>
      </c>
      <c r="E316" t="s">
        <v>28</v>
      </c>
    </row>
    <row r="317" spans="1:5" x14ac:dyDescent="0.25">
      <c r="A317">
        <v>9025</v>
      </c>
      <c r="B317" t="s">
        <v>40</v>
      </c>
      <c r="C317">
        <v>504</v>
      </c>
      <c r="D317" t="s">
        <v>100</v>
      </c>
      <c r="E317" t="s">
        <v>28</v>
      </c>
    </row>
    <row r="318" spans="1:5" x14ac:dyDescent="0.25">
      <c r="A318">
        <v>9026</v>
      </c>
      <c r="B318" t="s">
        <v>80</v>
      </c>
      <c r="C318">
        <v>1656</v>
      </c>
      <c r="D318" t="s">
        <v>102</v>
      </c>
      <c r="E318" t="s">
        <v>28</v>
      </c>
    </row>
    <row r="319" spans="1:5" x14ac:dyDescent="0.25">
      <c r="A319">
        <v>9026</v>
      </c>
      <c r="B319" t="s">
        <v>80</v>
      </c>
      <c r="C319">
        <v>792</v>
      </c>
      <c r="D319" t="s">
        <v>104</v>
      </c>
      <c r="E319" t="s">
        <v>28</v>
      </c>
    </row>
    <row r="320" spans="1:5" x14ac:dyDescent="0.25">
      <c r="A320">
        <v>9026</v>
      </c>
      <c r="B320" t="s">
        <v>80</v>
      </c>
      <c r="C320">
        <v>2268</v>
      </c>
      <c r="D320" t="s">
        <v>113</v>
      </c>
      <c r="E320" t="s">
        <v>28</v>
      </c>
    </row>
    <row r="321" spans="1:5" x14ac:dyDescent="0.25">
      <c r="A321">
        <v>9028</v>
      </c>
      <c r="B321" t="s">
        <v>119</v>
      </c>
      <c r="C321">
        <v>648</v>
      </c>
      <c r="D321" t="s">
        <v>105</v>
      </c>
      <c r="E321" t="s">
        <v>28</v>
      </c>
    </row>
    <row r="322" spans="1:5" x14ac:dyDescent="0.25">
      <c r="A322">
        <v>9029</v>
      </c>
      <c r="B322" t="s">
        <v>41</v>
      </c>
      <c r="C322">
        <v>576</v>
      </c>
      <c r="D322" t="s">
        <v>109</v>
      </c>
      <c r="E322" t="s">
        <v>28</v>
      </c>
    </row>
    <row r="323" spans="1:5" x14ac:dyDescent="0.25">
      <c r="A323">
        <v>9029</v>
      </c>
      <c r="B323" t="s">
        <v>41</v>
      </c>
      <c r="C323">
        <v>864</v>
      </c>
      <c r="D323" t="s">
        <v>114</v>
      </c>
      <c r="E323" t="s">
        <v>28</v>
      </c>
    </row>
    <row r="324" spans="1:5" x14ac:dyDescent="0.25">
      <c r="A324">
        <v>9031</v>
      </c>
      <c r="B324" t="s">
        <v>42</v>
      </c>
      <c r="C324">
        <v>4872</v>
      </c>
      <c r="D324" t="s">
        <v>103</v>
      </c>
      <c r="E324" t="s">
        <v>43</v>
      </c>
    </row>
    <row r="325" spans="1:5" x14ac:dyDescent="0.25">
      <c r="A325">
        <v>9033</v>
      </c>
      <c r="B325" t="s">
        <v>81</v>
      </c>
      <c r="C325">
        <v>960</v>
      </c>
      <c r="D325" t="s">
        <v>100</v>
      </c>
      <c r="E325" t="s">
        <v>15</v>
      </c>
    </row>
    <row r="326" spans="1:5" x14ac:dyDescent="0.25">
      <c r="A326">
        <v>9034</v>
      </c>
      <c r="B326" t="s">
        <v>82</v>
      </c>
      <c r="C326">
        <v>1785</v>
      </c>
      <c r="D326" t="s">
        <v>112</v>
      </c>
      <c r="E326" t="s">
        <v>15</v>
      </c>
    </row>
    <row r="327" spans="1:5" x14ac:dyDescent="0.25">
      <c r="A327">
        <v>9034</v>
      </c>
      <c r="B327" t="s">
        <v>82</v>
      </c>
      <c r="C327">
        <v>375</v>
      </c>
      <c r="D327" t="s">
        <v>117</v>
      </c>
      <c r="E327" t="s">
        <v>15</v>
      </c>
    </row>
    <row r="328" spans="1:5" x14ac:dyDescent="0.25">
      <c r="A328">
        <v>9034</v>
      </c>
      <c r="B328" t="s">
        <v>82</v>
      </c>
      <c r="C328">
        <v>5760</v>
      </c>
      <c r="D328" t="s">
        <v>117</v>
      </c>
      <c r="E328" t="s">
        <v>15</v>
      </c>
    </row>
    <row r="329" spans="1:5" x14ac:dyDescent="0.25">
      <c r="A329">
        <v>9034</v>
      </c>
      <c r="B329" t="s">
        <v>82</v>
      </c>
      <c r="C329">
        <v>2880</v>
      </c>
      <c r="D329" t="s">
        <v>113</v>
      </c>
      <c r="E329" t="s">
        <v>15</v>
      </c>
    </row>
    <row r="330" spans="1:5" x14ac:dyDescent="0.25">
      <c r="A330">
        <v>9036</v>
      </c>
      <c r="B330" t="s">
        <v>120</v>
      </c>
      <c r="C330">
        <v>1216</v>
      </c>
      <c r="D330" t="s">
        <v>113</v>
      </c>
      <c r="E330" t="s">
        <v>15</v>
      </c>
    </row>
    <row r="331" spans="1:5" x14ac:dyDescent="0.25">
      <c r="A331">
        <v>9053</v>
      </c>
      <c r="B331" t="s">
        <v>44</v>
      </c>
      <c r="C331">
        <v>1260</v>
      </c>
      <c r="D331" t="s">
        <v>102</v>
      </c>
      <c r="E331" t="s">
        <v>45</v>
      </c>
    </row>
    <row r="332" spans="1:5" x14ac:dyDescent="0.25">
      <c r="A332">
        <v>9053</v>
      </c>
      <c r="B332" t="s">
        <v>44</v>
      </c>
      <c r="C332">
        <v>640</v>
      </c>
      <c r="D332" t="s">
        <v>98</v>
      </c>
      <c r="E332" t="s">
        <v>45</v>
      </c>
    </row>
    <row r="333" spans="1:5" x14ac:dyDescent="0.25">
      <c r="A333">
        <v>9053</v>
      </c>
      <c r="B333" t="s">
        <v>44</v>
      </c>
      <c r="C333">
        <v>1800</v>
      </c>
      <c r="D333" t="s">
        <v>109</v>
      </c>
      <c r="E333" t="s">
        <v>45</v>
      </c>
    </row>
    <row r="334" spans="1:5" x14ac:dyDescent="0.25">
      <c r="A334">
        <v>9053</v>
      </c>
      <c r="B334" t="s">
        <v>44</v>
      </c>
      <c r="C334">
        <v>3960</v>
      </c>
      <c r="D334" t="s">
        <v>115</v>
      </c>
      <c r="E334" t="s">
        <v>45</v>
      </c>
    </row>
    <row r="335" spans="1:5" x14ac:dyDescent="0.25">
      <c r="A335">
        <v>9064</v>
      </c>
      <c r="B335" t="s">
        <v>46</v>
      </c>
      <c r="C335">
        <v>4350</v>
      </c>
      <c r="D335" t="s">
        <v>116</v>
      </c>
      <c r="E335" t="s">
        <v>45</v>
      </c>
    </row>
    <row r="336" spans="1:5" x14ac:dyDescent="0.25">
      <c r="A336">
        <v>9096</v>
      </c>
      <c r="B336" t="s">
        <v>47</v>
      </c>
      <c r="C336">
        <v>9</v>
      </c>
      <c r="D336" t="s">
        <v>117</v>
      </c>
      <c r="E336" t="s">
        <v>43</v>
      </c>
    </row>
    <row r="337" spans="1:5" x14ac:dyDescent="0.25">
      <c r="A337">
        <v>9188</v>
      </c>
      <c r="B337" t="s">
        <v>48</v>
      </c>
      <c r="C337">
        <v>4660</v>
      </c>
      <c r="D337" t="s">
        <v>114</v>
      </c>
      <c r="E337" t="s">
        <v>15</v>
      </c>
    </row>
    <row r="338" spans="1:5" x14ac:dyDescent="0.25">
      <c r="A338">
        <v>9188</v>
      </c>
      <c r="B338" t="s">
        <v>48</v>
      </c>
      <c r="C338">
        <v>2470</v>
      </c>
      <c r="D338" t="s">
        <v>99</v>
      </c>
      <c r="E338" t="s">
        <v>15</v>
      </c>
    </row>
    <row r="339" spans="1:5" x14ac:dyDescent="0.25">
      <c r="A339">
        <v>9188</v>
      </c>
      <c r="B339" t="s">
        <v>48</v>
      </c>
      <c r="C339">
        <v>2330</v>
      </c>
      <c r="D339" t="s">
        <v>106</v>
      </c>
      <c r="E339" t="s">
        <v>15</v>
      </c>
    </row>
    <row r="340" spans="1:5" x14ac:dyDescent="0.25">
      <c r="A340">
        <v>9201</v>
      </c>
      <c r="B340" t="s">
        <v>50</v>
      </c>
      <c r="C340">
        <v>800</v>
      </c>
      <c r="D340" t="s">
        <v>107</v>
      </c>
      <c r="E340" t="s">
        <v>15</v>
      </c>
    </row>
    <row r="341" spans="1:5" x14ac:dyDescent="0.25">
      <c r="A341">
        <v>9201</v>
      </c>
      <c r="B341" t="s">
        <v>50</v>
      </c>
      <c r="C341">
        <v>660</v>
      </c>
      <c r="D341" t="s">
        <v>100</v>
      </c>
      <c r="E341" t="s">
        <v>15</v>
      </c>
    </row>
    <row r="342" spans="1:5" x14ac:dyDescent="0.25">
      <c r="A342">
        <v>9211</v>
      </c>
      <c r="B342" t="s">
        <v>51</v>
      </c>
      <c r="C342">
        <v>864</v>
      </c>
      <c r="D342" t="s">
        <v>109</v>
      </c>
      <c r="E342" t="s">
        <v>28</v>
      </c>
    </row>
    <row r="343" spans="1:5" x14ac:dyDescent="0.25">
      <c r="A343">
        <v>9229</v>
      </c>
      <c r="B343" t="s">
        <v>52</v>
      </c>
      <c r="C343">
        <v>576</v>
      </c>
      <c r="D343" t="s">
        <v>103</v>
      </c>
      <c r="E343" t="s">
        <v>28</v>
      </c>
    </row>
    <row r="344" spans="1:5" x14ac:dyDescent="0.25">
      <c r="A344">
        <v>9229</v>
      </c>
      <c r="B344" t="s">
        <v>52</v>
      </c>
      <c r="C344">
        <v>144</v>
      </c>
      <c r="D344" t="s">
        <v>98</v>
      </c>
      <c r="E344" t="s">
        <v>28</v>
      </c>
    </row>
    <row r="345" spans="1:5" x14ac:dyDescent="0.25">
      <c r="A345">
        <v>9229</v>
      </c>
      <c r="B345" t="s">
        <v>52</v>
      </c>
      <c r="C345">
        <v>576</v>
      </c>
      <c r="D345" t="s">
        <v>112</v>
      </c>
      <c r="E345" t="s">
        <v>28</v>
      </c>
    </row>
    <row r="346" spans="1:5" x14ac:dyDescent="0.25">
      <c r="A346">
        <v>9237</v>
      </c>
      <c r="B346" t="s">
        <v>53</v>
      </c>
      <c r="C346">
        <v>780</v>
      </c>
      <c r="D346" t="s">
        <v>104</v>
      </c>
      <c r="E346" t="s">
        <v>15</v>
      </c>
    </row>
    <row r="347" spans="1:5" x14ac:dyDescent="0.25">
      <c r="A347">
        <v>9237</v>
      </c>
      <c r="B347" t="s">
        <v>53</v>
      </c>
      <c r="C347">
        <v>576</v>
      </c>
      <c r="D347" t="s">
        <v>107</v>
      </c>
      <c r="E347" t="s">
        <v>15</v>
      </c>
    </row>
    <row r="348" spans="1:5" x14ac:dyDescent="0.25">
      <c r="A348">
        <v>9237</v>
      </c>
      <c r="B348" t="s">
        <v>53</v>
      </c>
      <c r="C348">
        <v>1152</v>
      </c>
      <c r="D348" t="s">
        <v>108</v>
      </c>
      <c r="E348" t="s">
        <v>15</v>
      </c>
    </row>
    <row r="349" spans="1:5" x14ac:dyDescent="0.25">
      <c r="A349">
        <v>9237</v>
      </c>
      <c r="B349" t="s">
        <v>53</v>
      </c>
      <c r="C349">
        <v>576</v>
      </c>
      <c r="D349" t="s">
        <v>98</v>
      </c>
      <c r="E349" t="s">
        <v>15</v>
      </c>
    </row>
    <row r="350" spans="1:5" x14ac:dyDescent="0.25">
      <c r="A350">
        <v>9237</v>
      </c>
      <c r="B350" t="s">
        <v>53</v>
      </c>
      <c r="C350">
        <v>828</v>
      </c>
      <c r="D350" t="s">
        <v>105</v>
      </c>
      <c r="E350" t="s">
        <v>15</v>
      </c>
    </row>
    <row r="351" spans="1:5" x14ac:dyDescent="0.25">
      <c r="A351">
        <v>9238</v>
      </c>
      <c r="B351" t="s">
        <v>121</v>
      </c>
      <c r="C351">
        <v>392</v>
      </c>
      <c r="D351" t="s">
        <v>111</v>
      </c>
      <c r="E351" t="s">
        <v>28</v>
      </c>
    </row>
    <row r="352" spans="1:5" x14ac:dyDescent="0.25">
      <c r="A352">
        <v>9241</v>
      </c>
      <c r="B352" t="s">
        <v>55</v>
      </c>
      <c r="C352">
        <v>5256</v>
      </c>
      <c r="D352" t="s">
        <v>117</v>
      </c>
      <c r="E352" t="s">
        <v>28</v>
      </c>
    </row>
    <row r="353" spans="1:5" x14ac:dyDescent="0.25">
      <c r="A353">
        <v>9242</v>
      </c>
      <c r="B353" t="s">
        <v>86</v>
      </c>
      <c r="C353">
        <v>4032</v>
      </c>
      <c r="D353" t="s">
        <v>107</v>
      </c>
      <c r="E353" t="s">
        <v>28</v>
      </c>
    </row>
    <row r="354" spans="1:5" x14ac:dyDescent="0.25">
      <c r="A354">
        <v>9242</v>
      </c>
      <c r="B354" t="s">
        <v>86</v>
      </c>
      <c r="C354">
        <v>4032</v>
      </c>
      <c r="D354" t="s">
        <v>108</v>
      </c>
      <c r="E354" t="s">
        <v>28</v>
      </c>
    </row>
    <row r="355" spans="1:5" x14ac:dyDescent="0.25">
      <c r="A355">
        <v>9243</v>
      </c>
      <c r="B355" t="s">
        <v>87</v>
      </c>
      <c r="C355">
        <v>7488</v>
      </c>
      <c r="D355" t="s">
        <v>117</v>
      </c>
      <c r="E355" t="s">
        <v>28</v>
      </c>
    </row>
    <row r="356" spans="1:5" x14ac:dyDescent="0.25">
      <c r="A356">
        <v>9243</v>
      </c>
      <c r="B356" t="s">
        <v>87</v>
      </c>
      <c r="C356">
        <v>2016</v>
      </c>
      <c r="D356" t="s">
        <v>113</v>
      </c>
      <c r="E356" t="s">
        <v>28</v>
      </c>
    </row>
    <row r="357" spans="1:5" x14ac:dyDescent="0.25">
      <c r="A357">
        <v>9279</v>
      </c>
      <c r="B357" t="s">
        <v>122</v>
      </c>
      <c r="C357">
        <v>216</v>
      </c>
      <c r="D357" t="s">
        <v>117</v>
      </c>
      <c r="E357" t="s">
        <v>43</v>
      </c>
    </row>
    <row r="358" spans="1:5" x14ac:dyDescent="0.25">
      <c r="A358">
        <v>9283</v>
      </c>
      <c r="B358" t="s">
        <v>56</v>
      </c>
      <c r="C358">
        <v>5040</v>
      </c>
      <c r="D358" t="s">
        <v>110</v>
      </c>
      <c r="E358" t="s">
        <v>15</v>
      </c>
    </row>
    <row r="359" spans="1:5" x14ac:dyDescent="0.25">
      <c r="A359">
        <v>9283</v>
      </c>
      <c r="B359" t="s">
        <v>56</v>
      </c>
      <c r="C359">
        <v>5760</v>
      </c>
      <c r="D359" t="s">
        <v>111</v>
      </c>
      <c r="E359" t="s">
        <v>15</v>
      </c>
    </row>
    <row r="360" spans="1:5" x14ac:dyDescent="0.25">
      <c r="A360">
        <v>9291</v>
      </c>
      <c r="B360" t="s">
        <v>123</v>
      </c>
      <c r="C360">
        <v>1152</v>
      </c>
      <c r="D360" t="s">
        <v>113</v>
      </c>
      <c r="E360" t="s">
        <v>15</v>
      </c>
    </row>
    <row r="361" spans="1:5" x14ac:dyDescent="0.25">
      <c r="A361">
        <v>2283</v>
      </c>
      <c r="B361" t="s">
        <v>5</v>
      </c>
      <c r="C361">
        <v>1160</v>
      </c>
      <c r="D361" t="s">
        <v>124</v>
      </c>
      <c r="E361" t="s">
        <v>7</v>
      </c>
    </row>
    <row r="362" spans="1:5" x14ac:dyDescent="0.25">
      <c r="A362">
        <v>2283</v>
      </c>
      <c r="B362" t="s">
        <v>5</v>
      </c>
      <c r="C362">
        <v>280</v>
      </c>
      <c r="D362" t="s">
        <v>125</v>
      </c>
      <c r="E362" t="s">
        <v>7</v>
      </c>
    </row>
    <row r="363" spans="1:5" x14ac:dyDescent="0.25">
      <c r="A363">
        <v>2283</v>
      </c>
      <c r="B363" t="s">
        <v>5</v>
      </c>
      <c r="C363">
        <v>560</v>
      </c>
      <c r="D363" t="s">
        <v>126</v>
      </c>
      <c r="E363" t="s">
        <v>7</v>
      </c>
    </row>
    <row r="364" spans="1:5" x14ac:dyDescent="0.25">
      <c r="A364">
        <v>2283</v>
      </c>
      <c r="B364" t="s">
        <v>5</v>
      </c>
      <c r="C364">
        <v>1120</v>
      </c>
      <c r="D364" t="s">
        <v>127</v>
      </c>
      <c r="E364" t="s">
        <v>7</v>
      </c>
    </row>
    <row r="365" spans="1:5" x14ac:dyDescent="0.25">
      <c r="A365">
        <v>2283</v>
      </c>
      <c r="B365" t="s">
        <v>5</v>
      </c>
      <c r="C365">
        <v>280</v>
      </c>
      <c r="D365" t="s">
        <v>128</v>
      </c>
      <c r="E365" t="s">
        <v>7</v>
      </c>
    </row>
    <row r="366" spans="1:5" x14ac:dyDescent="0.25">
      <c r="A366">
        <v>2285</v>
      </c>
      <c r="B366" t="s">
        <v>9</v>
      </c>
      <c r="C366">
        <v>544</v>
      </c>
      <c r="D366" t="s">
        <v>129</v>
      </c>
      <c r="E366" t="s">
        <v>7</v>
      </c>
    </row>
    <row r="367" spans="1:5" x14ac:dyDescent="0.25">
      <c r="A367">
        <v>2543</v>
      </c>
      <c r="B367" t="s">
        <v>10</v>
      </c>
      <c r="C367">
        <v>72</v>
      </c>
      <c r="D367" t="s">
        <v>130</v>
      </c>
      <c r="E367" t="s">
        <v>7</v>
      </c>
    </row>
    <row r="368" spans="1:5" x14ac:dyDescent="0.25">
      <c r="A368">
        <v>2543</v>
      </c>
      <c r="B368" t="s">
        <v>10</v>
      </c>
      <c r="C368">
        <v>208</v>
      </c>
      <c r="D368" t="s">
        <v>131</v>
      </c>
      <c r="E368" t="s">
        <v>7</v>
      </c>
    </row>
    <row r="369" spans="1:5" x14ac:dyDescent="0.25">
      <c r="A369">
        <v>2543</v>
      </c>
      <c r="B369" t="s">
        <v>10</v>
      </c>
      <c r="C369">
        <v>560</v>
      </c>
      <c r="D369" t="s">
        <v>127</v>
      </c>
      <c r="E369" t="s">
        <v>7</v>
      </c>
    </row>
    <row r="370" spans="1:5" x14ac:dyDescent="0.25">
      <c r="A370">
        <v>2543</v>
      </c>
      <c r="B370" t="s">
        <v>10</v>
      </c>
      <c r="C370">
        <v>280</v>
      </c>
      <c r="D370" t="s">
        <v>128</v>
      </c>
      <c r="E370" t="s">
        <v>7</v>
      </c>
    </row>
    <row r="371" spans="1:5" x14ac:dyDescent="0.25">
      <c r="A371">
        <v>2553</v>
      </c>
      <c r="B371" t="s">
        <v>11</v>
      </c>
      <c r="C371">
        <v>990</v>
      </c>
      <c r="D371" t="s">
        <v>125</v>
      </c>
      <c r="E371" t="s">
        <v>7</v>
      </c>
    </row>
    <row r="372" spans="1:5" x14ac:dyDescent="0.25">
      <c r="A372">
        <v>2735</v>
      </c>
      <c r="B372" t="s">
        <v>13</v>
      </c>
      <c r="C372">
        <v>4000</v>
      </c>
      <c r="D372" t="s">
        <v>132</v>
      </c>
      <c r="E372" t="s">
        <v>15</v>
      </c>
    </row>
    <row r="373" spans="1:5" x14ac:dyDescent="0.25">
      <c r="A373">
        <v>2735</v>
      </c>
      <c r="B373" t="s">
        <v>13</v>
      </c>
      <c r="C373">
        <v>270</v>
      </c>
      <c r="D373" t="s">
        <v>133</v>
      </c>
      <c r="E373" t="s">
        <v>15</v>
      </c>
    </row>
    <row r="374" spans="1:5" x14ac:dyDescent="0.25">
      <c r="A374">
        <v>2736</v>
      </c>
      <c r="B374" t="s">
        <v>62</v>
      </c>
      <c r="C374">
        <v>4212</v>
      </c>
      <c r="D374" t="s">
        <v>129</v>
      </c>
      <c r="E374" t="s">
        <v>15</v>
      </c>
    </row>
    <row r="375" spans="1:5" x14ac:dyDescent="0.25">
      <c r="A375">
        <v>2736</v>
      </c>
      <c r="B375" t="s">
        <v>62</v>
      </c>
      <c r="C375">
        <v>4428</v>
      </c>
      <c r="D375" t="s">
        <v>130</v>
      </c>
      <c r="E375" t="s">
        <v>15</v>
      </c>
    </row>
    <row r="376" spans="1:5" x14ac:dyDescent="0.25">
      <c r="A376">
        <v>2736</v>
      </c>
      <c r="B376" t="s">
        <v>62</v>
      </c>
      <c r="C376">
        <v>960</v>
      </c>
      <c r="D376" t="s">
        <v>125</v>
      </c>
      <c r="E376" t="s">
        <v>15</v>
      </c>
    </row>
    <row r="377" spans="1:5" x14ac:dyDescent="0.25">
      <c r="A377">
        <v>2736</v>
      </c>
      <c r="B377" t="s">
        <v>62</v>
      </c>
      <c r="C377">
        <v>528</v>
      </c>
      <c r="D377" t="s">
        <v>59</v>
      </c>
      <c r="E377" t="s">
        <v>15</v>
      </c>
    </row>
    <row r="378" spans="1:5" x14ac:dyDescent="0.25">
      <c r="A378">
        <v>2737</v>
      </c>
      <c r="B378" t="s">
        <v>134</v>
      </c>
      <c r="C378">
        <v>225</v>
      </c>
      <c r="D378" t="s">
        <v>129</v>
      </c>
      <c r="E378" t="s">
        <v>15</v>
      </c>
    </row>
    <row r="379" spans="1:5" x14ac:dyDescent="0.25">
      <c r="A379">
        <v>2738</v>
      </c>
      <c r="B379" t="s">
        <v>16</v>
      </c>
      <c r="C379">
        <v>4320</v>
      </c>
      <c r="D379" t="s">
        <v>135</v>
      </c>
      <c r="E379" t="s">
        <v>15</v>
      </c>
    </row>
    <row r="380" spans="1:5" x14ac:dyDescent="0.25">
      <c r="A380">
        <v>2738</v>
      </c>
      <c r="B380" t="s">
        <v>16</v>
      </c>
      <c r="C380">
        <v>2640</v>
      </c>
      <c r="D380" t="s">
        <v>129</v>
      </c>
      <c r="E380" t="s">
        <v>15</v>
      </c>
    </row>
    <row r="381" spans="1:5" x14ac:dyDescent="0.25">
      <c r="A381">
        <v>2738</v>
      </c>
      <c r="B381" t="s">
        <v>16</v>
      </c>
      <c r="C381">
        <v>1995</v>
      </c>
      <c r="D381" t="s">
        <v>130</v>
      </c>
      <c r="E381" t="s">
        <v>15</v>
      </c>
    </row>
    <row r="382" spans="1:5" x14ac:dyDescent="0.25">
      <c r="A382">
        <v>2738</v>
      </c>
      <c r="B382" t="s">
        <v>16</v>
      </c>
      <c r="C382">
        <v>1440</v>
      </c>
      <c r="D382" t="s">
        <v>131</v>
      </c>
      <c r="E382" t="s">
        <v>15</v>
      </c>
    </row>
    <row r="383" spans="1:5" x14ac:dyDescent="0.25">
      <c r="A383">
        <v>2738</v>
      </c>
      <c r="B383" t="s">
        <v>16</v>
      </c>
      <c r="C383">
        <v>2880</v>
      </c>
      <c r="D383" t="s">
        <v>125</v>
      </c>
      <c r="E383" t="s">
        <v>15</v>
      </c>
    </row>
    <row r="384" spans="1:5" x14ac:dyDescent="0.25">
      <c r="A384">
        <v>2738</v>
      </c>
      <c r="B384" t="s">
        <v>16</v>
      </c>
      <c r="C384">
        <v>3390</v>
      </c>
      <c r="D384" t="s">
        <v>136</v>
      </c>
      <c r="E384" t="s">
        <v>15</v>
      </c>
    </row>
    <row r="385" spans="1:5" x14ac:dyDescent="0.25">
      <c r="A385">
        <v>2738</v>
      </c>
      <c r="B385" t="s">
        <v>16</v>
      </c>
      <c r="C385">
        <v>1440</v>
      </c>
      <c r="D385" t="s">
        <v>137</v>
      </c>
      <c r="E385" t="s">
        <v>15</v>
      </c>
    </row>
    <row r="386" spans="1:5" x14ac:dyDescent="0.25">
      <c r="A386">
        <v>2738</v>
      </c>
      <c r="B386" t="s">
        <v>16</v>
      </c>
      <c r="C386">
        <v>1440</v>
      </c>
      <c r="D386" t="s">
        <v>138</v>
      </c>
      <c r="E386" t="s">
        <v>15</v>
      </c>
    </row>
    <row r="387" spans="1:5" x14ac:dyDescent="0.25">
      <c r="A387">
        <v>2738</v>
      </c>
      <c r="B387" t="s">
        <v>16</v>
      </c>
      <c r="C387">
        <v>720</v>
      </c>
      <c r="D387" t="s">
        <v>139</v>
      </c>
      <c r="E387" t="s">
        <v>15</v>
      </c>
    </row>
    <row r="388" spans="1:5" x14ac:dyDescent="0.25">
      <c r="A388">
        <v>2738</v>
      </c>
      <c r="B388" t="s">
        <v>16</v>
      </c>
      <c r="C388">
        <v>4530</v>
      </c>
      <c r="D388" t="s">
        <v>140</v>
      </c>
      <c r="E388" t="s">
        <v>15</v>
      </c>
    </row>
    <row r="389" spans="1:5" x14ac:dyDescent="0.25">
      <c r="A389">
        <v>2738</v>
      </c>
      <c r="B389" t="s">
        <v>16</v>
      </c>
      <c r="C389">
        <v>2370</v>
      </c>
      <c r="D389" t="s">
        <v>133</v>
      </c>
      <c r="E389" t="s">
        <v>15</v>
      </c>
    </row>
    <row r="390" spans="1:5" x14ac:dyDescent="0.25">
      <c r="A390">
        <v>2738</v>
      </c>
      <c r="B390" t="s">
        <v>16</v>
      </c>
      <c r="C390">
        <v>885</v>
      </c>
      <c r="D390" t="s">
        <v>126</v>
      </c>
      <c r="E390" t="s">
        <v>15</v>
      </c>
    </row>
    <row r="391" spans="1:5" x14ac:dyDescent="0.25">
      <c r="A391">
        <v>2738</v>
      </c>
      <c r="B391" t="s">
        <v>16</v>
      </c>
      <c r="C391">
        <v>2400</v>
      </c>
      <c r="D391" t="s">
        <v>141</v>
      </c>
      <c r="E391" t="s">
        <v>15</v>
      </c>
    </row>
    <row r="392" spans="1:5" x14ac:dyDescent="0.25">
      <c r="A392">
        <v>2738</v>
      </c>
      <c r="B392" t="s">
        <v>16</v>
      </c>
      <c r="C392">
        <v>1395</v>
      </c>
      <c r="D392" t="s">
        <v>142</v>
      </c>
      <c r="E392" t="s">
        <v>15</v>
      </c>
    </row>
    <row r="393" spans="1:5" x14ac:dyDescent="0.25">
      <c r="A393">
        <v>2738</v>
      </c>
      <c r="B393" t="s">
        <v>16</v>
      </c>
      <c r="C393">
        <v>1935</v>
      </c>
      <c r="D393" t="s">
        <v>143</v>
      </c>
      <c r="E393" t="s">
        <v>15</v>
      </c>
    </row>
    <row r="394" spans="1:5" x14ac:dyDescent="0.25">
      <c r="A394">
        <v>4808</v>
      </c>
      <c r="B394" t="s">
        <v>24</v>
      </c>
      <c r="C394">
        <v>1360</v>
      </c>
      <c r="D394" t="s">
        <v>124</v>
      </c>
      <c r="E394" t="s">
        <v>25</v>
      </c>
    </row>
    <row r="395" spans="1:5" x14ac:dyDescent="0.25">
      <c r="A395">
        <v>4808</v>
      </c>
      <c r="B395" t="s">
        <v>24</v>
      </c>
      <c r="C395">
        <v>552</v>
      </c>
      <c r="D395" t="s">
        <v>125</v>
      </c>
      <c r="E395" t="s">
        <v>25</v>
      </c>
    </row>
    <row r="396" spans="1:5" x14ac:dyDescent="0.25">
      <c r="A396">
        <v>4808</v>
      </c>
      <c r="B396" t="s">
        <v>24</v>
      </c>
      <c r="C396">
        <v>584</v>
      </c>
      <c r="D396" t="s">
        <v>133</v>
      </c>
      <c r="E396" t="s">
        <v>25</v>
      </c>
    </row>
    <row r="397" spans="1:5" x14ac:dyDescent="0.25">
      <c r="A397">
        <v>4808</v>
      </c>
      <c r="B397" t="s">
        <v>24</v>
      </c>
      <c r="C397">
        <v>1000</v>
      </c>
      <c r="D397" t="s">
        <v>126</v>
      </c>
      <c r="E397" t="s">
        <v>25</v>
      </c>
    </row>
    <row r="398" spans="1:5" x14ac:dyDescent="0.25">
      <c r="A398">
        <v>4808</v>
      </c>
      <c r="B398" t="s">
        <v>24</v>
      </c>
      <c r="C398">
        <v>560</v>
      </c>
      <c r="D398" t="s">
        <v>127</v>
      </c>
      <c r="E398" t="s">
        <v>25</v>
      </c>
    </row>
    <row r="399" spans="1:5" x14ac:dyDescent="0.25">
      <c r="A399">
        <v>4808</v>
      </c>
      <c r="B399" t="s">
        <v>24</v>
      </c>
      <c r="C399">
        <v>1704</v>
      </c>
      <c r="D399" t="s">
        <v>141</v>
      </c>
      <c r="E399" t="s">
        <v>25</v>
      </c>
    </row>
    <row r="400" spans="1:5" x14ac:dyDescent="0.25">
      <c r="A400">
        <v>4808</v>
      </c>
      <c r="B400" t="s">
        <v>24</v>
      </c>
      <c r="C400">
        <v>1232</v>
      </c>
      <c r="D400" t="s">
        <v>128</v>
      </c>
      <c r="E400" t="s">
        <v>25</v>
      </c>
    </row>
    <row r="401" spans="1:5" x14ac:dyDescent="0.25">
      <c r="A401">
        <v>4855</v>
      </c>
      <c r="B401" t="s">
        <v>26</v>
      </c>
      <c r="C401">
        <v>2440</v>
      </c>
      <c r="D401" t="s">
        <v>135</v>
      </c>
      <c r="E401" t="s">
        <v>25</v>
      </c>
    </row>
    <row r="402" spans="1:5" x14ac:dyDescent="0.25">
      <c r="A402">
        <v>4855</v>
      </c>
      <c r="B402" t="s">
        <v>26</v>
      </c>
      <c r="C402">
        <v>784</v>
      </c>
      <c r="D402" t="s">
        <v>124</v>
      </c>
      <c r="E402" t="s">
        <v>25</v>
      </c>
    </row>
    <row r="403" spans="1:5" x14ac:dyDescent="0.25">
      <c r="A403">
        <v>4855</v>
      </c>
      <c r="B403" t="s">
        <v>26</v>
      </c>
      <c r="C403">
        <v>1536</v>
      </c>
      <c r="D403" t="s">
        <v>130</v>
      </c>
      <c r="E403" t="s">
        <v>25</v>
      </c>
    </row>
    <row r="404" spans="1:5" x14ac:dyDescent="0.25">
      <c r="A404">
        <v>4855</v>
      </c>
      <c r="B404" t="s">
        <v>26</v>
      </c>
      <c r="C404">
        <v>3921</v>
      </c>
      <c r="D404" t="s">
        <v>131</v>
      </c>
      <c r="E404" t="s">
        <v>25</v>
      </c>
    </row>
    <row r="405" spans="1:5" x14ac:dyDescent="0.25">
      <c r="A405">
        <v>4855</v>
      </c>
      <c r="B405" t="s">
        <v>26</v>
      </c>
      <c r="C405">
        <v>800</v>
      </c>
      <c r="D405" t="s">
        <v>125</v>
      </c>
      <c r="E405" t="s">
        <v>25</v>
      </c>
    </row>
    <row r="406" spans="1:5" x14ac:dyDescent="0.25">
      <c r="A406">
        <v>4855</v>
      </c>
      <c r="B406" t="s">
        <v>26</v>
      </c>
      <c r="C406">
        <v>1928</v>
      </c>
      <c r="D406" t="s">
        <v>138</v>
      </c>
      <c r="E406" t="s">
        <v>25</v>
      </c>
    </row>
    <row r="407" spans="1:5" x14ac:dyDescent="0.25">
      <c r="A407">
        <v>4855</v>
      </c>
      <c r="B407" t="s">
        <v>26</v>
      </c>
      <c r="C407">
        <v>2160</v>
      </c>
      <c r="D407" t="s">
        <v>132</v>
      </c>
      <c r="E407" t="s">
        <v>25</v>
      </c>
    </row>
    <row r="408" spans="1:5" x14ac:dyDescent="0.25">
      <c r="A408">
        <v>4855</v>
      </c>
      <c r="B408" t="s">
        <v>26</v>
      </c>
      <c r="C408">
        <v>3304</v>
      </c>
      <c r="D408" t="s">
        <v>133</v>
      </c>
      <c r="E408" t="s">
        <v>25</v>
      </c>
    </row>
    <row r="409" spans="1:5" x14ac:dyDescent="0.25">
      <c r="A409">
        <v>4855</v>
      </c>
      <c r="B409" t="s">
        <v>26</v>
      </c>
      <c r="C409">
        <v>2544</v>
      </c>
      <c r="D409" t="s">
        <v>126</v>
      </c>
      <c r="E409" t="s">
        <v>25</v>
      </c>
    </row>
    <row r="410" spans="1:5" x14ac:dyDescent="0.25">
      <c r="A410">
        <v>4855</v>
      </c>
      <c r="B410" t="s">
        <v>26</v>
      </c>
      <c r="C410">
        <v>2312</v>
      </c>
      <c r="D410" t="s">
        <v>127</v>
      </c>
      <c r="E410" t="s">
        <v>25</v>
      </c>
    </row>
    <row r="411" spans="1:5" x14ac:dyDescent="0.25">
      <c r="A411">
        <v>4855</v>
      </c>
      <c r="B411" t="s">
        <v>26</v>
      </c>
      <c r="C411">
        <v>3232</v>
      </c>
      <c r="D411" t="s">
        <v>128</v>
      </c>
      <c r="E411" t="s">
        <v>25</v>
      </c>
    </row>
    <row r="412" spans="1:5" x14ac:dyDescent="0.25">
      <c r="A412">
        <v>4906</v>
      </c>
      <c r="B412" t="s">
        <v>73</v>
      </c>
      <c r="C412">
        <v>5280</v>
      </c>
      <c r="D412" t="s">
        <v>136</v>
      </c>
      <c r="E412" t="s">
        <v>25</v>
      </c>
    </row>
    <row r="413" spans="1:5" x14ac:dyDescent="0.25">
      <c r="A413">
        <v>4906</v>
      </c>
      <c r="B413" t="s">
        <v>73</v>
      </c>
      <c r="C413">
        <v>870</v>
      </c>
      <c r="D413" t="s">
        <v>140</v>
      </c>
      <c r="E413" t="s">
        <v>25</v>
      </c>
    </row>
    <row r="414" spans="1:5" x14ac:dyDescent="0.25">
      <c r="A414">
        <v>4906</v>
      </c>
      <c r="B414" t="s">
        <v>73</v>
      </c>
      <c r="C414">
        <v>1650</v>
      </c>
      <c r="D414" t="s">
        <v>133</v>
      </c>
      <c r="E414" t="s">
        <v>25</v>
      </c>
    </row>
    <row r="415" spans="1:5" x14ac:dyDescent="0.25">
      <c r="A415">
        <v>4961</v>
      </c>
      <c r="B415" t="s">
        <v>144</v>
      </c>
      <c r="C415">
        <v>560</v>
      </c>
      <c r="D415" t="s">
        <v>138</v>
      </c>
      <c r="E415" t="s">
        <v>25</v>
      </c>
    </row>
    <row r="416" spans="1:5" x14ac:dyDescent="0.25">
      <c r="A416">
        <v>9001</v>
      </c>
      <c r="B416" t="s">
        <v>29</v>
      </c>
      <c r="C416">
        <v>5688</v>
      </c>
      <c r="D416" t="s">
        <v>135</v>
      </c>
      <c r="E416" t="s">
        <v>28</v>
      </c>
    </row>
    <row r="417" spans="1:5" x14ac:dyDescent="0.25">
      <c r="A417">
        <v>9001</v>
      </c>
      <c r="B417" t="s">
        <v>29</v>
      </c>
      <c r="C417">
        <v>4860</v>
      </c>
      <c r="D417" t="s">
        <v>124</v>
      </c>
      <c r="E417" t="s">
        <v>28</v>
      </c>
    </row>
    <row r="418" spans="1:5" x14ac:dyDescent="0.25">
      <c r="A418">
        <v>9001</v>
      </c>
      <c r="B418" t="s">
        <v>29</v>
      </c>
      <c r="C418">
        <v>2736</v>
      </c>
      <c r="D418" t="s">
        <v>129</v>
      </c>
      <c r="E418" t="s">
        <v>28</v>
      </c>
    </row>
    <row r="419" spans="1:5" x14ac:dyDescent="0.25">
      <c r="A419">
        <v>9001</v>
      </c>
      <c r="B419" t="s">
        <v>29</v>
      </c>
      <c r="C419">
        <v>2736</v>
      </c>
      <c r="D419" t="s">
        <v>131</v>
      </c>
      <c r="E419" t="s">
        <v>28</v>
      </c>
    </row>
    <row r="420" spans="1:5" x14ac:dyDescent="0.25">
      <c r="A420">
        <v>9001</v>
      </c>
      <c r="B420" t="s">
        <v>29</v>
      </c>
      <c r="C420">
        <v>4608</v>
      </c>
      <c r="D420" t="s">
        <v>137</v>
      </c>
      <c r="E420" t="s">
        <v>28</v>
      </c>
    </row>
    <row r="421" spans="1:5" x14ac:dyDescent="0.25">
      <c r="A421">
        <v>9001</v>
      </c>
      <c r="B421" t="s">
        <v>29</v>
      </c>
      <c r="C421">
        <v>4608</v>
      </c>
      <c r="D421" t="s">
        <v>138</v>
      </c>
      <c r="E421" t="s">
        <v>28</v>
      </c>
    </row>
    <row r="422" spans="1:5" x14ac:dyDescent="0.25">
      <c r="A422">
        <v>9001</v>
      </c>
      <c r="B422" t="s">
        <v>29</v>
      </c>
      <c r="C422">
        <v>1764</v>
      </c>
      <c r="D422" t="s">
        <v>139</v>
      </c>
      <c r="E422" t="s">
        <v>28</v>
      </c>
    </row>
    <row r="423" spans="1:5" x14ac:dyDescent="0.25">
      <c r="A423">
        <v>9001</v>
      </c>
      <c r="B423" t="s">
        <v>29</v>
      </c>
      <c r="C423">
        <v>3420</v>
      </c>
      <c r="D423" t="s">
        <v>132</v>
      </c>
      <c r="E423" t="s">
        <v>28</v>
      </c>
    </row>
    <row r="424" spans="1:5" x14ac:dyDescent="0.25">
      <c r="A424">
        <v>9001</v>
      </c>
      <c r="B424" t="s">
        <v>29</v>
      </c>
      <c r="C424">
        <v>6912</v>
      </c>
      <c r="D424" t="s">
        <v>133</v>
      </c>
      <c r="E424" t="s">
        <v>28</v>
      </c>
    </row>
    <row r="425" spans="1:5" x14ac:dyDescent="0.25">
      <c r="A425">
        <v>9001</v>
      </c>
      <c r="B425" t="s">
        <v>29</v>
      </c>
      <c r="C425">
        <v>6948</v>
      </c>
      <c r="D425" t="s">
        <v>126</v>
      </c>
      <c r="E425" t="s">
        <v>28</v>
      </c>
    </row>
    <row r="426" spans="1:5" x14ac:dyDescent="0.25">
      <c r="A426">
        <v>9001</v>
      </c>
      <c r="B426" t="s">
        <v>29</v>
      </c>
      <c r="C426">
        <v>3672</v>
      </c>
      <c r="D426" t="s">
        <v>127</v>
      </c>
      <c r="E426" t="s">
        <v>28</v>
      </c>
    </row>
    <row r="427" spans="1:5" x14ac:dyDescent="0.25">
      <c r="A427">
        <v>9001</v>
      </c>
      <c r="B427" t="s">
        <v>29</v>
      </c>
      <c r="C427">
        <v>4968</v>
      </c>
      <c r="D427" t="s">
        <v>141</v>
      </c>
      <c r="E427" t="s">
        <v>28</v>
      </c>
    </row>
    <row r="428" spans="1:5" x14ac:dyDescent="0.25">
      <c r="A428">
        <v>9001</v>
      </c>
      <c r="B428" t="s">
        <v>29</v>
      </c>
      <c r="C428">
        <v>4032</v>
      </c>
      <c r="D428" t="s">
        <v>145</v>
      </c>
      <c r="E428" t="s">
        <v>28</v>
      </c>
    </row>
    <row r="429" spans="1:5" x14ac:dyDescent="0.25">
      <c r="A429">
        <v>9001</v>
      </c>
      <c r="B429" t="s">
        <v>29</v>
      </c>
      <c r="C429">
        <v>5436</v>
      </c>
      <c r="D429" t="s">
        <v>143</v>
      </c>
      <c r="E429" t="s">
        <v>28</v>
      </c>
    </row>
    <row r="430" spans="1:5" x14ac:dyDescent="0.25">
      <c r="A430">
        <v>9001</v>
      </c>
      <c r="B430" t="s">
        <v>29</v>
      </c>
      <c r="C430">
        <v>684</v>
      </c>
      <c r="D430" t="s">
        <v>128</v>
      </c>
      <c r="E430" t="s">
        <v>28</v>
      </c>
    </row>
    <row r="431" spans="1:5" x14ac:dyDescent="0.25">
      <c r="A431">
        <v>9003</v>
      </c>
      <c r="B431" t="s">
        <v>32</v>
      </c>
      <c r="C431">
        <v>2700</v>
      </c>
      <c r="D431" t="s">
        <v>135</v>
      </c>
      <c r="E431" t="s">
        <v>28</v>
      </c>
    </row>
    <row r="432" spans="1:5" x14ac:dyDescent="0.25">
      <c r="A432">
        <v>9003</v>
      </c>
      <c r="B432" t="s">
        <v>32</v>
      </c>
      <c r="C432">
        <v>1728</v>
      </c>
      <c r="D432" t="s">
        <v>124</v>
      </c>
      <c r="E432" t="s">
        <v>28</v>
      </c>
    </row>
    <row r="433" spans="1:5" x14ac:dyDescent="0.25">
      <c r="A433">
        <v>9003</v>
      </c>
      <c r="B433" t="s">
        <v>32</v>
      </c>
      <c r="C433">
        <v>4464</v>
      </c>
      <c r="D433" t="s">
        <v>129</v>
      </c>
      <c r="E433" t="s">
        <v>28</v>
      </c>
    </row>
    <row r="434" spans="1:5" x14ac:dyDescent="0.25">
      <c r="A434">
        <v>9003</v>
      </c>
      <c r="B434" t="s">
        <v>32</v>
      </c>
      <c r="C434">
        <v>4464</v>
      </c>
      <c r="D434" t="s">
        <v>130</v>
      </c>
      <c r="E434" t="s">
        <v>28</v>
      </c>
    </row>
    <row r="435" spans="1:5" x14ac:dyDescent="0.25">
      <c r="A435">
        <v>9003</v>
      </c>
      <c r="B435" t="s">
        <v>32</v>
      </c>
      <c r="C435">
        <v>3528</v>
      </c>
      <c r="D435" t="s">
        <v>131</v>
      </c>
      <c r="E435" t="s">
        <v>28</v>
      </c>
    </row>
    <row r="436" spans="1:5" x14ac:dyDescent="0.25">
      <c r="A436">
        <v>9003</v>
      </c>
      <c r="B436" t="s">
        <v>32</v>
      </c>
      <c r="C436">
        <v>1692</v>
      </c>
      <c r="D436" t="s">
        <v>137</v>
      </c>
      <c r="E436" t="s">
        <v>28</v>
      </c>
    </row>
    <row r="437" spans="1:5" x14ac:dyDescent="0.25">
      <c r="A437">
        <v>9003</v>
      </c>
      <c r="B437" t="s">
        <v>32</v>
      </c>
      <c r="C437">
        <v>3204</v>
      </c>
      <c r="D437" t="s">
        <v>138</v>
      </c>
      <c r="E437" t="s">
        <v>28</v>
      </c>
    </row>
    <row r="438" spans="1:5" x14ac:dyDescent="0.25">
      <c r="A438">
        <v>9003</v>
      </c>
      <c r="B438" t="s">
        <v>32</v>
      </c>
      <c r="C438">
        <v>5796</v>
      </c>
      <c r="D438" t="s">
        <v>139</v>
      </c>
      <c r="E438" t="s">
        <v>28</v>
      </c>
    </row>
    <row r="439" spans="1:5" x14ac:dyDescent="0.25">
      <c r="A439">
        <v>9003</v>
      </c>
      <c r="B439" t="s">
        <v>32</v>
      </c>
      <c r="C439">
        <v>2412</v>
      </c>
      <c r="D439" t="s">
        <v>133</v>
      </c>
      <c r="E439" t="s">
        <v>28</v>
      </c>
    </row>
    <row r="440" spans="1:5" x14ac:dyDescent="0.25">
      <c r="A440">
        <v>9003</v>
      </c>
      <c r="B440" t="s">
        <v>32</v>
      </c>
      <c r="C440">
        <v>576</v>
      </c>
      <c r="D440" t="s">
        <v>126</v>
      </c>
      <c r="E440" t="s">
        <v>28</v>
      </c>
    </row>
    <row r="441" spans="1:5" x14ac:dyDescent="0.25">
      <c r="A441">
        <v>9003</v>
      </c>
      <c r="B441" t="s">
        <v>32</v>
      </c>
      <c r="C441">
        <v>2268</v>
      </c>
      <c r="D441" t="s">
        <v>141</v>
      </c>
      <c r="E441" t="s">
        <v>28</v>
      </c>
    </row>
    <row r="442" spans="1:5" x14ac:dyDescent="0.25">
      <c r="A442">
        <v>9003</v>
      </c>
      <c r="B442" t="s">
        <v>32</v>
      </c>
      <c r="C442">
        <v>972</v>
      </c>
      <c r="D442" t="s">
        <v>145</v>
      </c>
      <c r="E442" t="s">
        <v>28</v>
      </c>
    </row>
    <row r="443" spans="1:5" x14ac:dyDescent="0.25">
      <c r="A443">
        <v>9003</v>
      </c>
      <c r="B443" t="s">
        <v>32</v>
      </c>
      <c r="C443">
        <v>1080</v>
      </c>
      <c r="D443" t="s">
        <v>143</v>
      </c>
      <c r="E443" t="s">
        <v>28</v>
      </c>
    </row>
    <row r="444" spans="1:5" x14ac:dyDescent="0.25">
      <c r="A444">
        <v>9003</v>
      </c>
      <c r="B444" t="s">
        <v>32</v>
      </c>
      <c r="C444">
        <v>2304</v>
      </c>
      <c r="D444" t="s">
        <v>128</v>
      </c>
      <c r="E444" t="s">
        <v>28</v>
      </c>
    </row>
    <row r="445" spans="1:5" x14ac:dyDescent="0.25">
      <c r="A445">
        <v>9004</v>
      </c>
      <c r="B445" t="s">
        <v>33</v>
      </c>
      <c r="C445">
        <v>1800</v>
      </c>
      <c r="D445" t="s">
        <v>135</v>
      </c>
      <c r="E445" t="s">
        <v>28</v>
      </c>
    </row>
    <row r="446" spans="1:5" x14ac:dyDescent="0.25">
      <c r="A446">
        <v>9004</v>
      </c>
      <c r="B446" t="s">
        <v>33</v>
      </c>
      <c r="C446">
        <v>3600</v>
      </c>
      <c r="D446" t="s">
        <v>129</v>
      </c>
      <c r="E446" t="s">
        <v>28</v>
      </c>
    </row>
    <row r="447" spans="1:5" x14ac:dyDescent="0.25">
      <c r="A447">
        <v>9004</v>
      </c>
      <c r="B447" t="s">
        <v>33</v>
      </c>
      <c r="C447">
        <v>1764</v>
      </c>
      <c r="D447" t="s">
        <v>132</v>
      </c>
      <c r="E447" t="s">
        <v>28</v>
      </c>
    </row>
    <row r="448" spans="1:5" x14ac:dyDescent="0.25">
      <c r="A448">
        <v>9004</v>
      </c>
      <c r="B448" t="s">
        <v>33</v>
      </c>
      <c r="C448">
        <v>2628</v>
      </c>
      <c r="D448" t="s">
        <v>127</v>
      </c>
      <c r="E448" t="s">
        <v>28</v>
      </c>
    </row>
    <row r="449" spans="1:5" x14ac:dyDescent="0.25">
      <c r="A449">
        <v>9005</v>
      </c>
      <c r="B449" t="s">
        <v>34</v>
      </c>
      <c r="C449">
        <v>864</v>
      </c>
      <c r="D449" t="s">
        <v>124</v>
      </c>
      <c r="E449" t="s">
        <v>28</v>
      </c>
    </row>
    <row r="450" spans="1:5" x14ac:dyDescent="0.25">
      <c r="A450">
        <v>9005</v>
      </c>
      <c r="B450" t="s">
        <v>34</v>
      </c>
      <c r="C450">
        <v>828</v>
      </c>
      <c r="D450" t="s">
        <v>138</v>
      </c>
      <c r="E450" t="s">
        <v>28</v>
      </c>
    </row>
    <row r="451" spans="1:5" x14ac:dyDescent="0.25">
      <c r="A451">
        <v>9009</v>
      </c>
      <c r="B451" t="s">
        <v>77</v>
      </c>
      <c r="C451">
        <v>720</v>
      </c>
      <c r="D451" t="s">
        <v>126</v>
      </c>
      <c r="E451" t="s">
        <v>28</v>
      </c>
    </row>
    <row r="452" spans="1:5" x14ac:dyDescent="0.25">
      <c r="A452">
        <v>9011</v>
      </c>
      <c r="B452" t="s">
        <v>78</v>
      </c>
      <c r="C452">
        <v>2088</v>
      </c>
      <c r="D452" t="s">
        <v>138</v>
      </c>
      <c r="E452" t="s">
        <v>28</v>
      </c>
    </row>
    <row r="453" spans="1:5" x14ac:dyDescent="0.25">
      <c r="A453">
        <v>9013</v>
      </c>
      <c r="B453" t="s">
        <v>35</v>
      </c>
      <c r="C453">
        <v>1836</v>
      </c>
      <c r="D453" t="s">
        <v>124</v>
      </c>
      <c r="E453" t="s">
        <v>28</v>
      </c>
    </row>
    <row r="454" spans="1:5" x14ac:dyDescent="0.25">
      <c r="A454">
        <v>9013</v>
      </c>
      <c r="B454" t="s">
        <v>35</v>
      </c>
      <c r="C454">
        <v>7452</v>
      </c>
      <c r="D454" t="s">
        <v>130</v>
      </c>
      <c r="E454" t="s">
        <v>28</v>
      </c>
    </row>
    <row r="455" spans="1:5" x14ac:dyDescent="0.25">
      <c r="A455">
        <v>9013</v>
      </c>
      <c r="B455" t="s">
        <v>35</v>
      </c>
      <c r="C455">
        <v>2304</v>
      </c>
      <c r="D455" t="s">
        <v>137</v>
      </c>
      <c r="E455" t="s">
        <v>28</v>
      </c>
    </row>
    <row r="456" spans="1:5" x14ac:dyDescent="0.25">
      <c r="A456">
        <v>9013</v>
      </c>
      <c r="B456" t="s">
        <v>35</v>
      </c>
      <c r="C456">
        <v>1692</v>
      </c>
      <c r="D456" t="s">
        <v>126</v>
      </c>
      <c r="E456" t="s">
        <v>28</v>
      </c>
    </row>
    <row r="457" spans="1:5" x14ac:dyDescent="0.25">
      <c r="A457">
        <v>9013</v>
      </c>
      <c r="B457" t="s">
        <v>35</v>
      </c>
      <c r="C457">
        <v>2052</v>
      </c>
      <c r="D457" t="s">
        <v>143</v>
      </c>
      <c r="E457" t="s">
        <v>28</v>
      </c>
    </row>
    <row r="458" spans="1:5" x14ac:dyDescent="0.25">
      <c r="A458">
        <v>9014</v>
      </c>
      <c r="B458" t="s">
        <v>79</v>
      </c>
      <c r="C458">
        <v>880</v>
      </c>
      <c r="D458" t="s">
        <v>135</v>
      </c>
      <c r="E458" t="s">
        <v>28</v>
      </c>
    </row>
    <row r="459" spans="1:5" x14ac:dyDescent="0.25">
      <c r="A459">
        <v>9018</v>
      </c>
      <c r="B459" t="s">
        <v>36</v>
      </c>
      <c r="C459">
        <v>936</v>
      </c>
      <c r="D459" t="s">
        <v>132</v>
      </c>
      <c r="E459" t="s">
        <v>28</v>
      </c>
    </row>
    <row r="460" spans="1:5" x14ac:dyDescent="0.25">
      <c r="A460">
        <v>9019</v>
      </c>
      <c r="B460" t="s">
        <v>37</v>
      </c>
      <c r="C460">
        <v>1728</v>
      </c>
      <c r="D460" t="s">
        <v>124</v>
      </c>
      <c r="E460" t="s">
        <v>28</v>
      </c>
    </row>
    <row r="461" spans="1:5" x14ac:dyDescent="0.25">
      <c r="A461">
        <v>9019</v>
      </c>
      <c r="B461" t="s">
        <v>37</v>
      </c>
      <c r="C461">
        <v>1764</v>
      </c>
      <c r="D461" t="s">
        <v>125</v>
      </c>
      <c r="E461" t="s">
        <v>28</v>
      </c>
    </row>
    <row r="462" spans="1:5" x14ac:dyDescent="0.25">
      <c r="A462">
        <v>9019</v>
      </c>
      <c r="B462" t="s">
        <v>37</v>
      </c>
      <c r="C462">
        <v>2628</v>
      </c>
      <c r="D462" t="s">
        <v>137</v>
      </c>
      <c r="E462" t="s">
        <v>28</v>
      </c>
    </row>
    <row r="463" spans="1:5" x14ac:dyDescent="0.25">
      <c r="A463">
        <v>9019</v>
      </c>
      <c r="B463" t="s">
        <v>37</v>
      </c>
      <c r="C463">
        <v>4284</v>
      </c>
      <c r="D463" t="s">
        <v>140</v>
      </c>
      <c r="E463" t="s">
        <v>28</v>
      </c>
    </row>
    <row r="464" spans="1:5" x14ac:dyDescent="0.25">
      <c r="A464">
        <v>9019</v>
      </c>
      <c r="B464" t="s">
        <v>37</v>
      </c>
      <c r="C464">
        <v>1764</v>
      </c>
      <c r="D464" t="s">
        <v>126</v>
      </c>
      <c r="E464" t="s">
        <v>28</v>
      </c>
    </row>
    <row r="465" spans="1:5" x14ac:dyDescent="0.25">
      <c r="A465">
        <v>9019</v>
      </c>
      <c r="B465" t="s">
        <v>37</v>
      </c>
      <c r="C465">
        <v>2232</v>
      </c>
      <c r="D465" t="s">
        <v>141</v>
      </c>
      <c r="E465" t="s">
        <v>28</v>
      </c>
    </row>
    <row r="466" spans="1:5" x14ac:dyDescent="0.25">
      <c r="A466">
        <v>9021</v>
      </c>
      <c r="B466" t="s">
        <v>38</v>
      </c>
      <c r="C466">
        <v>2772</v>
      </c>
      <c r="D466" t="s">
        <v>131</v>
      </c>
      <c r="E466" t="s">
        <v>28</v>
      </c>
    </row>
    <row r="467" spans="1:5" x14ac:dyDescent="0.25">
      <c r="A467">
        <v>9021</v>
      </c>
      <c r="B467" t="s">
        <v>38</v>
      </c>
      <c r="C467">
        <v>1080</v>
      </c>
      <c r="D467" t="s">
        <v>127</v>
      </c>
      <c r="E467" t="s">
        <v>28</v>
      </c>
    </row>
    <row r="468" spans="1:5" x14ac:dyDescent="0.25">
      <c r="A468">
        <v>9023</v>
      </c>
      <c r="B468" t="s">
        <v>118</v>
      </c>
      <c r="C468">
        <v>2664</v>
      </c>
      <c r="D468" t="s">
        <v>143</v>
      </c>
      <c r="E468" t="s">
        <v>28</v>
      </c>
    </row>
    <row r="469" spans="1:5" x14ac:dyDescent="0.25">
      <c r="A469">
        <v>9024</v>
      </c>
      <c r="B469" t="s">
        <v>146</v>
      </c>
      <c r="C469">
        <v>792</v>
      </c>
      <c r="D469" t="s">
        <v>133</v>
      </c>
      <c r="E469" t="s">
        <v>28</v>
      </c>
    </row>
    <row r="470" spans="1:5" x14ac:dyDescent="0.25">
      <c r="A470">
        <v>9024</v>
      </c>
      <c r="B470" t="s">
        <v>146</v>
      </c>
      <c r="C470">
        <v>2304</v>
      </c>
      <c r="D470" t="s">
        <v>145</v>
      </c>
      <c r="E470" t="s">
        <v>28</v>
      </c>
    </row>
    <row r="471" spans="1:5" x14ac:dyDescent="0.25">
      <c r="A471">
        <v>9025</v>
      </c>
      <c r="B471" t="s">
        <v>40</v>
      </c>
      <c r="C471">
        <v>216</v>
      </c>
      <c r="D471" t="s">
        <v>129</v>
      </c>
      <c r="E471" t="s">
        <v>28</v>
      </c>
    </row>
    <row r="472" spans="1:5" x14ac:dyDescent="0.25">
      <c r="A472">
        <v>9025</v>
      </c>
      <c r="B472" t="s">
        <v>40</v>
      </c>
      <c r="C472">
        <v>1620</v>
      </c>
      <c r="D472" t="s">
        <v>138</v>
      </c>
      <c r="E472" t="s">
        <v>28</v>
      </c>
    </row>
    <row r="473" spans="1:5" x14ac:dyDescent="0.25">
      <c r="A473">
        <v>9026</v>
      </c>
      <c r="B473" t="s">
        <v>80</v>
      </c>
      <c r="C473">
        <v>1836</v>
      </c>
      <c r="D473" t="s">
        <v>140</v>
      </c>
      <c r="E473" t="s">
        <v>28</v>
      </c>
    </row>
    <row r="474" spans="1:5" x14ac:dyDescent="0.25">
      <c r="A474">
        <v>9028</v>
      </c>
      <c r="B474" t="s">
        <v>119</v>
      </c>
      <c r="C474">
        <v>648</v>
      </c>
      <c r="D474" t="s">
        <v>124</v>
      </c>
      <c r="E474" t="s">
        <v>28</v>
      </c>
    </row>
    <row r="475" spans="1:5" x14ac:dyDescent="0.25">
      <c r="A475">
        <v>9029</v>
      </c>
      <c r="B475" t="s">
        <v>41</v>
      </c>
      <c r="C475">
        <v>360</v>
      </c>
      <c r="D475" t="s">
        <v>143</v>
      </c>
      <c r="E475" t="s">
        <v>28</v>
      </c>
    </row>
    <row r="476" spans="1:5" x14ac:dyDescent="0.25">
      <c r="A476">
        <v>9031</v>
      </c>
      <c r="B476" t="s">
        <v>42</v>
      </c>
      <c r="C476">
        <v>2688</v>
      </c>
      <c r="D476" t="s">
        <v>136</v>
      </c>
      <c r="E476" t="s">
        <v>43</v>
      </c>
    </row>
    <row r="477" spans="1:5" x14ac:dyDescent="0.25">
      <c r="A477">
        <v>9033</v>
      </c>
      <c r="B477" t="s">
        <v>81</v>
      </c>
      <c r="C477">
        <v>890</v>
      </c>
      <c r="D477" t="s">
        <v>137</v>
      </c>
      <c r="E477" t="s">
        <v>15</v>
      </c>
    </row>
    <row r="478" spans="1:5" x14ac:dyDescent="0.25">
      <c r="A478">
        <v>9053</v>
      </c>
      <c r="B478" t="s">
        <v>44</v>
      </c>
      <c r="C478">
        <v>1280</v>
      </c>
      <c r="D478" t="s">
        <v>124</v>
      </c>
      <c r="E478" t="s">
        <v>45</v>
      </c>
    </row>
    <row r="479" spans="1:5" x14ac:dyDescent="0.25">
      <c r="A479">
        <v>9053</v>
      </c>
      <c r="B479" t="s">
        <v>44</v>
      </c>
      <c r="C479">
        <v>550</v>
      </c>
      <c r="D479" t="s">
        <v>131</v>
      </c>
      <c r="E479" t="s">
        <v>45</v>
      </c>
    </row>
    <row r="480" spans="1:5" x14ac:dyDescent="0.25">
      <c r="A480">
        <v>9053</v>
      </c>
      <c r="B480" t="s">
        <v>44</v>
      </c>
      <c r="C480">
        <v>2560</v>
      </c>
      <c r="D480" t="s">
        <v>137</v>
      </c>
      <c r="E480" t="s">
        <v>45</v>
      </c>
    </row>
    <row r="481" spans="1:5" x14ac:dyDescent="0.25">
      <c r="A481">
        <v>9053</v>
      </c>
      <c r="B481" t="s">
        <v>44</v>
      </c>
      <c r="C481">
        <v>1680</v>
      </c>
      <c r="D481" t="s">
        <v>138</v>
      </c>
      <c r="E481" t="s">
        <v>45</v>
      </c>
    </row>
    <row r="482" spans="1:5" x14ac:dyDescent="0.25">
      <c r="A482">
        <v>9053</v>
      </c>
      <c r="B482" t="s">
        <v>44</v>
      </c>
      <c r="C482">
        <v>2720</v>
      </c>
      <c r="D482" t="s">
        <v>139</v>
      </c>
      <c r="E482" t="s">
        <v>45</v>
      </c>
    </row>
    <row r="483" spans="1:5" x14ac:dyDescent="0.25">
      <c r="A483">
        <v>9053</v>
      </c>
      <c r="B483" t="s">
        <v>44</v>
      </c>
      <c r="C483">
        <v>1450</v>
      </c>
      <c r="D483" t="s">
        <v>143</v>
      </c>
      <c r="E483" t="s">
        <v>45</v>
      </c>
    </row>
    <row r="484" spans="1:5" x14ac:dyDescent="0.25">
      <c r="A484">
        <v>9053</v>
      </c>
      <c r="B484" t="s">
        <v>44</v>
      </c>
      <c r="C484">
        <v>320</v>
      </c>
      <c r="D484" t="s">
        <v>128</v>
      </c>
      <c r="E484" t="s">
        <v>45</v>
      </c>
    </row>
    <row r="485" spans="1:5" x14ac:dyDescent="0.25">
      <c r="A485">
        <v>9096</v>
      </c>
      <c r="B485" t="s">
        <v>47</v>
      </c>
      <c r="C485">
        <v>84</v>
      </c>
      <c r="D485" t="s">
        <v>136</v>
      </c>
      <c r="E485" t="s">
        <v>43</v>
      </c>
    </row>
    <row r="486" spans="1:5" x14ac:dyDescent="0.25">
      <c r="A486">
        <v>9188</v>
      </c>
      <c r="B486" t="s">
        <v>48</v>
      </c>
      <c r="C486">
        <v>990</v>
      </c>
      <c r="D486" t="s">
        <v>126</v>
      </c>
      <c r="E486" t="s">
        <v>15</v>
      </c>
    </row>
    <row r="487" spans="1:5" x14ac:dyDescent="0.25">
      <c r="A487">
        <v>9188</v>
      </c>
      <c r="B487" t="s">
        <v>48</v>
      </c>
      <c r="C487">
        <v>930</v>
      </c>
      <c r="D487" t="s">
        <v>127</v>
      </c>
      <c r="E487" t="s">
        <v>15</v>
      </c>
    </row>
    <row r="488" spans="1:5" x14ac:dyDescent="0.25">
      <c r="A488">
        <v>9188</v>
      </c>
      <c r="B488" t="s">
        <v>48</v>
      </c>
      <c r="C488">
        <v>640</v>
      </c>
      <c r="D488" t="s">
        <v>141</v>
      </c>
      <c r="E488" t="s">
        <v>15</v>
      </c>
    </row>
    <row r="489" spans="1:5" x14ac:dyDescent="0.25">
      <c r="A489">
        <v>9188</v>
      </c>
      <c r="B489" t="s">
        <v>48</v>
      </c>
      <c r="C489">
        <v>2560</v>
      </c>
      <c r="D489" t="s">
        <v>145</v>
      </c>
      <c r="E489" t="s">
        <v>15</v>
      </c>
    </row>
    <row r="490" spans="1:5" x14ac:dyDescent="0.25">
      <c r="A490">
        <v>9188</v>
      </c>
      <c r="B490" t="s">
        <v>48</v>
      </c>
      <c r="C490">
        <v>3620</v>
      </c>
      <c r="D490" t="s">
        <v>142</v>
      </c>
      <c r="E490" t="s">
        <v>15</v>
      </c>
    </row>
    <row r="491" spans="1:5" x14ac:dyDescent="0.25">
      <c r="A491">
        <v>9188</v>
      </c>
      <c r="B491" t="s">
        <v>48</v>
      </c>
      <c r="C491">
        <v>450</v>
      </c>
      <c r="D491" t="s">
        <v>143</v>
      </c>
      <c r="E491" t="s">
        <v>15</v>
      </c>
    </row>
    <row r="492" spans="1:5" x14ac:dyDescent="0.25">
      <c r="A492">
        <v>9211</v>
      </c>
      <c r="B492" t="s">
        <v>51</v>
      </c>
      <c r="C492">
        <v>1080</v>
      </c>
      <c r="D492" t="s">
        <v>140</v>
      </c>
      <c r="E492" t="s">
        <v>28</v>
      </c>
    </row>
    <row r="493" spans="1:5" x14ac:dyDescent="0.25">
      <c r="A493">
        <v>9229</v>
      </c>
      <c r="B493" t="s">
        <v>52</v>
      </c>
      <c r="C493">
        <v>72</v>
      </c>
      <c r="D493" t="s">
        <v>133</v>
      </c>
      <c r="E493" t="s">
        <v>28</v>
      </c>
    </row>
    <row r="494" spans="1:5" x14ac:dyDescent="0.25">
      <c r="A494">
        <v>9229</v>
      </c>
      <c r="B494" t="s">
        <v>52</v>
      </c>
      <c r="C494">
        <v>256</v>
      </c>
      <c r="D494" t="s">
        <v>145</v>
      </c>
      <c r="E494" t="s">
        <v>28</v>
      </c>
    </row>
    <row r="495" spans="1:5" x14ac:dyDescent="0.25">
      <c r="A495">
        <v>9237</v>
      </c>
      <c r="B495" t="s">
        <v>53</v>
      </c>
      <c r="C495">
        <v>576</v>
      </c>
      <c r="D495" t="s">
        <v>124</v>
      </c>
      <c r="E495" t="s">
        <v>15</v>
      </c>
    </row>
    <row r="496" spans="1:5" x14ac:dyDescent="0.25">
      <c r="A496">
        <v>9237</v>
      </c>
      <c r="B496" t="s">
        <v>53</v>
      </c>
      <c r="C496">
        <v>576</v>
      </c>
      <c r="D496" t="s">
        <v>141</v>
      </c>
      <c r="E496" t="s">
        <v>15</v>
      </c>
    </row>
    <row r="497" spans="1:5" x14ac:dyDescent="0.25">
      <c r="A497">
        <v>9241</v>
      </c>
      <c r="B497" t="s">
        <v>55</v>
      </c>
      <c r="C497">
        <v>2016</v>
      </c>
      <c r="D497" t="s">
        <v>131</v>
      </c>
      <c r="E497" t="s">
        <v>28</v>
      </c>
    </row>
    <row r="498" spans="1:5" x14ac:dyDescent="0.25">
      <c r="A498">
        <v>9241</v>
      </c>
      <c r="B498" t="s">
        <v>55</v>
      </c>
      <c r="C498">
        <v>9936</v>
      </c>
      <c r="D498" t="s">
        <v>125</v>
      </c>
      <c r="E498" t="s">
        <v>28</v>
      </c>
    </row>
    <row r="499" spans="1:5" x14ac:dyDescent="0.25">
      <c r="A499">
        <v>9241</v>
      </c>
      <c r="B499" t="s">
        <v>55</v>
      </c>
      <c r="C499">
        <v>2016</v>
      </c>
      <c r="D499" t="s">
        <v>136</v>
      </c>
      <c r="E499" t="s">
        <v>28</v>
      </c>
    </row>
    <row r="500" spans="1:5" x14ac:dyDescent="0.25">
      <c r="A500">
        <v>9241</v>
      </c>
      <c r="B500" t="s">
        <v>55</v>
      </c>
      <c r="C500">
        <v>4032</v>
      </c>
      <c r="D500" t="s">
        <v>139</v>
      </c>
      <c r="E500" t="s">
        <v>28</v>
      </c>
    </row>
    <row r="501" spans="1:5" x14ac:dyDescent="0.25">
      <c r="A501">
        <v>9241</v>
      </c>
      <c r="B501" t="s">
        <v>55</v>
      </c>
      <c r="C501">
        <v>6048</v>
      </c>
      <c r="D501" t="s">
        <v>140</v>
      </c>
      <c r="E501" t="s">
        <v>28</v>
      </c>
    </row>
    <row r="502" spans="1:5" x14ac:dyDescent="0.25">
      <c r="A502">
        <v>9241</v>
      </c>
      <c r="B502" t="s">
        <v>55</v>
      </c>
      <c r="C502">
        <v>9504</v>
      </c>
      <c r="D502" t="s">
        <v>128</v>
      </c>
      <c r="E502" t="s">
        <v>28</v>
      </c>
    </row>
    <row r="503" spans="1:5" x14ac:dyDescent="0.25">
      <c r="A503">
        <v>9242</v>
      </c>
      <c r="B503" t="s">
        <v>86</v>
      </c>
      <c r="C503">
        <v>4032</v>
      </c>
      <c r="D503" t="s">
        <v>147</v>
      </c>
      <c r="E503" t="s">
        <v>28</v>
      </c>
    </row>
    <row r="504" spans="1:5" x14ac:dyDescent="0.25">
      <c r="A504">
        <v>9243</v>
      </c>
      <c r="B504" t="s">
        <v>87</v>
      </c>
      <c r="C504">
        <v>5688</v>
      </c>
      <c r="D504" t="s">
        <v>132</v>
      </c>
      <c r="E504" t="s">
        <v>28</v>
      </c>
    </row>
    <row r="505" spans="1:5" x14ac:dyDescent="0.25">
      <c r="A505">
        <v>9279</v>
      </c>
      <c r="B505" t="s">
        <v>122</v>
      </c>
      <c r="C505">
        <v>240</v>
      </c>
      <c r="D505" t="s">
        <v>117</v>
      </c>
      <c r="E505" t="s">
        <v>43</v>
      </c>
    </row>
    <row r="506" spans="1:5" x14ac:dyDescent="0.25">
      <c r="A506">
        <v>9291</v>
      </c>
      <c r="B506" t="s">
        <v>123</v>
      </c>
      <c r="C506">
        <v>1728</v>
      </c>
      <c r="D506" t="s">
        <v>140</v>
      </c>
      <c r="E506" t="s">
        <v>15</v>
      </c>
    </row>
    <row r="507" spans="1:5" x14ac:dyDescent="0.25">
      <c r="A507">
        <v>9305</v>
      </c>
      <c r="B507" t="s">
        <v>148</v>
      </c>
      <c r="C507">
        <v>1170</v>
      </c>
      <c r="D507" t="s">
        <v>145</v>
      </c>
      <c r="E507" t="s">
        <v>149</v>
      </c>
    </row>
    <row r="508" spans="1:5" x14ac:dyDescent="0.25">
      <c r="A508">
        <v>13811</v>
      </c>
      <c r="B508" t="s">
        <v>89</v>
      </c>
      <c r="C508">
        <v>1680</v>
      </c>
      <c r="D508" t="s">
        <v>136</v>
      </c>
      <c r="E508" t="s">
        <v>28</v>
      </c>
    </row>
    <row r="509" spans="1:5" x14ac:dyDescent="0.25">
      <c r="A509">
        <v>13815</v>
      </c>
      <c r="B509" t="s">
        <v>90</v>
      </c>
      <c r="C509">
        <v>1680</v>
      </c>
      <c r="D509" t="s">
        <v>136</v>
      </c>
      <c r="E509" t="s">
        <v>28</v>
      </c>
    </row>
    <row r="510" spans="1:5" x14ac:dyDescent="0.25">
      <c r="A510">
        <v>13816</v>
      </c>
      <c r="B510" t="s">
        <v>91</v>
      </c>
      <c r="C510">
        <v>1680</v>
      </c>
      <c r="D510" t="s">
        <v>136</v>
      </c>
      <c r="E510" t="s">
        <v>28</v>
      </c>
    </row>
    <row r="511" spans="1:5" x14ac:dyDescent="0.25">
      <c r="A511">
        <v>13817</v>
      </c>
      <c r="B511" t="s">
        <v>92</v>
      </c>
      <c r="C511">
        <v>1680</v>
      </c>
      <c r="D511" t="s">
        <v>136</v>
      </c>
      <c r="E511" t="s">
        <v>28</v>
      </c>
    </row>
    <row r="512" spans="1:5" x14ac:dyDescent="0.25">
      <c r="E512" t="s">
        <v>149</v>
      </c>
    </row>
    <row r="513" spans="5:5" x14ac:dyDescent="0.25">
      <c r="E513" t="s">
        <v>149</v>
      </c>
    </row>
    <row r="514" spans="5:5" x14ac:dyDescent="0.25">
      <c r="E514" t="s">
        <v>149</v>
      </c>
    </row>
    <row r="515" spans="5:5" x14ac:dyDescent="0.25">
      <c r="E515" t="s">
        <v>149</v>
      </c>
    </row>
    <row r="516" spans="5:5" x14ac:dyDescent="0.25">
      <c r="E516" t="s">
        <v>149</v>
      </c>
    </row>
    <row r="517" spans="5:5" x14ac:dyDescent="0.25">
      <c r="E517" t="s">
        <v>149</v>
      </c>
    </row>
    <row r="518" spans="5:5" x14ac:dyDescent="0.25">
      <c r="E518" t="s">
        <v>149</v>
      </c>
    </row>
    <row r="519" spans="5:5" x14ac:dyDescent="0.25">
      <c r="E519" t="s">
        <v>149</v>
      </c>
    </row>
    <row r="520" spans="5:5" x14ac:dyDescent="0.25">
      <c r="E520" t="s">
        <v>149</v>
      </c>
    </row>
    <row r="521" spans="5:5" x14ac:dyDescent="0.25">
      <c r="E521" t="s">
        <v>149</v>
      </c>
    </row>
    <row r="522" spans="5:5" x14ac:dyDescent="0.25">
      <c r="E522" t="s">
        <v>149</v>
      </c>
    </row>
    <row r="523" spans="5:5" x14ac:dyDescent="0.25">
      <c r="E523" t="s">
        <v>149</v>
      </c>
    </row>
    <row r="524" spans="5:5" x14ac:dyDescent="0.25">
      <c r="E524" t="s">
        <v>149</v>
      </c>
    </row>
    <row r="525" spans="5:5" x14ac:dyDescent="0.25">
      <c r="E525" t="s">
        <v>149</v>
      </c>
    </row>
    <row r="526" spans="5:5" x14ac:dyDescent="0.25">
      <c r="E526" t="s">
        <v>149</v>
      </c>
    </row>
    <row r="527" spans="5:5" x14ac:dyDescent="0.25">
      <c r="E527" t="s">
        <v>149</v>
      </c>
    </row>
    <row r="528" spans="5:5" x14ac:dyDescent="0.25">
      <c r="E528" t="s">
        <v>149</v>
      </c>
    </row>
    <row r="529" spans="5:5" x14ac:dyDescent="0.25">
      <c r="E529" t="s">
        <v>149</v>
      </c>
    </row>
    <row r="530" spans="5:5" x14ac:dyDescent="0.25">
      <c r="E530" t="s">
        <v>149</v>
      </c>
    </row>
    <row r="531" spans="5:5" x14ac:dyDescent="0.25">
      <c r="E531" t="s">
        <v>149</v>
      </c>
    </row>
    <row r="532" spans="5:5" x14ac:dyDescent="0.25">
      <c r="E532" t="s">
        <v>149</v>
      </c>
    </row>
    <row r="533" spans="5:5" x14ac:dyDescent="0.25">
      <c r="E533" t="s">
        <v>149</v>
      </c>
    </row>
    <row r="534" spans="5:5" x14ac:dyDescent="0.25">
      <c r="E534" t="s">
        <v>149</v>
      </c>
    </row>
    <row r="535" spans="5:5" x14ac:dyDescent="0.25">
      <c r="E535" t="s">
        <v>149</v>
      </c>
    </row>
    <row r="536" spans="5:5" x14ac:dyDescent="0.25">
      <c r="E536" t="s">
        <v>149</v>
      </c>
    </row>
    <row r="537" spans="5:5" x14ac:dyDescent="0.25">
      <c r="E537" t="s">
        <v>149</v>
      </c>
    </row>
    <row r="538" spans="5:5" x14ac:dyDescent="0.25">
      <c r="E538" t="s">
        <v>149</v>
      </c>
    </row>
    <row r="539" spans="5:5" x14ac:dyDescent="0.25">
      <c r="E539" t="s">
        <v>149</v>
      </c>
    </row>
    <row r="540" spans="5:5" x14ac:dyDescent="0.25">
      <c r="E540" t="s">
        <v>149</v>
      </c>
    </row>
    <row r="541" spans="5:5" x14ac:dyDescent="0.25">
      <c r="E541" t="s">
        <v>149</v>
      </c>
    </row>
    <row r="542" spans="5:5" x14ac:dyDescent="0.25">
      <c r="E542" t="s">
        <v>149</v>
      </c>
    </row>
    <row r="543" spans="5:5" x14ac:dyDescent="0.25">
      <c r="E543" t="s">
        <v>149</v>
      </c>
    </row>
    <row r="544" spans="5:5" x14ac:dyDescent="0.25">
      <c r="E544" t="s">
        <v>149</v>
      </c>
    </row>
    <row r="545" spans="5:5" x14ac:dyDescent="0.25">
      <c r="E545" t="s">
        <v>149</v>
      </c>
    </row>
    <row r="546" spans="5:5" x14ac:dyDescent="0.25">
      <c r="E546" t="s">
        <v>149</v>
      </c>
    </row>
    <row r="547" spans="5:5" x14ac:dyDescent="0.25">
      <c r="E547" t="s">
        <v>149</v>
      </c>
    </row>
    <row r="548" spans="5:5" x14ac:dyDescent="0.25">
      <c r="E548" t="s">
        <v>149</v>
      </c>
    </row>
    <row r="549" spans="5:5" x14ac:dyDescent="0.25">
      <c r="E549" t="s">
        <v>149</v>
      </c>
    </row>
    <row r="550" spans="5:5" x14ac:dyDescent="0.25">
      <c r="E550" t="s">
        <v>149</v>
      </c>
    </row>
    <row r="551" spans="5:5" x14ac:dyDescent="0.25">
      <c r="E551" t="s">
        <v>149</v>
      </c>
    </row>
    <row r="552" spans="5:5" x14ac:dyDescent="0.25">
      <c r="E552" t="s">
        <v>149</v>
      </c>
    </row>
    <row r="553" spans="5:5" x14ac:dyDescent="0.25">
      <c r="E553" t="s">
        <v>149</v>
      </c>
    </row>
    <row r="554" spans="5:5" x14ac:dyDescent="0.25">
      <c r="E554" t="s">
        <v>149</v>
      </c>
    </row>
    <row r="555" spans="5:5" x14ac:dyDescent="0.25">
      <c r="E555" t="s">
        <v>149</v>
      </c>
    </row>
    <row r="556" spans="5:5" x14ac:dyDescent="0.25">
      <c r="E556" t="s">
        <v>149</v>
      </c>
    </row>
    <row r="557" spans="5:5" x14ac:dyDescent="0.25">
      <c r="E557" t="s">
        <v>149</v>
      </c>
    </row>
    <row r="558" spans="5:5" x14ac:dyDescent="0.25">
      <c r="E558" t="s">
        <v>149</v>
      </c>
    </row>
    <row r="559" spans="5:5" x14ac:dyDescent="0.25">
      <c r="E559" t="s">
        <v>149</v>
      </c>
    </row>
    <row r="560" spans="5:5" x14ac:dyDescent="0.25">
      <c r="E560" t="s">
        <v>149</v>
      </c>
    </row>
    <row r="561" spans="5:5" x14ac:dyDescent="0.25">
      <c r="E561" t="s">
        <v>149</v>
      </c>
    </row>
    <row r="562" spans="5:5" x14ac:dyDescent="0.25">
      <c r="E562" t="s">
        <v>149</v>
      </c>
    </row>
    <row r="563" spans="5:5" x14ac:dyDescent="0.25">
      <c r="E563" t="s">
        <v>149</v>
      </c>
    </row>
    <row r="564" spans="5:5" x14ac:dyDescent="0.25">
      <c r="E564" t="s">
        <v>149</v>
      </c>
    </row>
    <row r="565" spans="5:5" x14ac:dyDescent="0.25">
      <c r="E565" t="s">
        <v>149</v>
      </c>
    </row>
    <row r="566" spans="5:5" x14ac:dyDescent="0.25">
      <c r="E566" t="s">
        <v>149</v>
      </c>
    </row>
    <row r="567" spans="5:5" x14ac:dyDescent="0.25">
      <c r="E567" t="s">
        <v>149</v>
      </c>
    </row>
    <row r="568" spans="5:5" x14ac:dyDescent="0.25">
      <c r="E568" t="s">
        <v>149</v>
      </c>
    </row>
    <row r="569" spans="5:5" x14ac:dyDescent="0.25">
      <c r="E569" t="s">
        <v>149</v>
      </c>
    </row>
    <row r="570" spans="5:5" x14ac:dyDescent="0.25">
      <c r="E570" t="s">
        <v>149</v>
      </c>
    </row>
    <row r="571" spans="5:5" x14ac:dyDescent="0.25">
      <c r="E571" t="s">
        <v>149</v>
      </c>
    </row>
    <row r="572" spans="5:5" x14ac:dyDescent="0.25">
      <c r="E572" t="s">
        <v>149</v>
      </c>
    </row>
    <row r="573" spans="5:5" x14ac:dyDescent="0.25">
      <c r="E573" t="s">
        <v>149</v>
      </c>
    </row>
    <row r="574" spans="5:5" x14ac:dyDescent="0.25">
      <c r="E574" t="s">
        <v>149</v>
      </c>
    </row>
    <row r="575" spans="5:5" x14ac:dyDescent="0.25">
      <c r="E575" t="s">
        <v>149</v>
      </c>
    </row>
    <row r="576" spans="5:5" x14ac:dyDescent="0.25">
      <c r="E576" t="s">
        <v>149</v>
      </c>
    </row>
    <row r="577" spans="5:5" x14ac:dyDescent="0.25">
      <c r="E577" t="s">
        <v>149</v>
      </c>
    </row>
    <row r="578" spans="5:5" x14ac:dyDescent="0.25">
      <c r="E578" t="s">
        <v>149</v>
      </c>
    </row>
    <row r="579" spans="5:5" x14ac:dyDescent="0.25">
      <c r="E579" t="s">
        <v>149</v>
      </c>
    </row>
    <row r="580" spans="5:5" x14ac:dyDescent="0.25">
      <c r="E580" t="s">
        <v>149</v>
      </c>
    </row>
    <row r="581" spans="5:5" x14ac:dyDescent="0.25">
      <c r="E581" t="s">
        <v>149</v>
      </c>
    </row>
    <row r="582" spans="5:5" x14ac:dyDescent="0.25">
      <c r="E582" t="s">
        <v>149</v>
      </c>
    </row>
    <row r="583" spans="5:5" x14ac:dyDescent="0.25">
      <c r="E583" t="s">
        <v>149</v>
      </c>
    </row>
    <row r="584" spans="5:5" x14ac:dyDescent="0.25">
      <c r="E584" t="s">
        <v>149</v>
      </c>
    </row>
    <row r="585" spans="5:5" x14ac:dyDescent="0.25">
      <c r="E585" t="s">
        <v>149</v>
      </c>
    </row>
    <row r="586" spans="5:5" x14ac:dyDescent="0.25">
      <c r="E586" t="s">
        <v>149</v>
      </c>
    </row>
    <row r="587" spans="5:5" x14ac:dyDescent="0.25">
      <c r="E587" t="s">
        <v>149</v>
      </c>
    </row>
    <row r="588" spans="5:5" x14ac:dyDescent="0.25">
      <c r="E588" t="s">
        <v>149</v>
      </c>
    </row>
    <row r="589" spans="5:5" x14ac:dyDescent="0.25">
      <c r="E589" t="s">
        <v>149</v>
      </c>
    </row>
    <row r="590" spans="5:5" x14ac:dyDescent="0.25">
      <c r="E590" t="s">
        <v>149</v>
      </c>
    </row>
    <row r="591" spans="5:5" x14ac:dyDescent="0.25">
      <c r="E591" t="s">
        <v>149</v>
      </c>
    </row>
    <row r="592" spans="5:5" x14ac:dyDescent="0.25">
      <c r="E592" t="s">
        <v>149</v>
      </c>
    </row>
    <row r="593" spans="5:5" x14ac:dyDescent="0.25">
      <c r="E593" t="s">
        <v>149</v>
      </c>
    </row>
    <row r="594" spans="5:5" x14ac:dyDescent="0.25">
      <c r="E594" t="s">
        <v>149</v>
      </c>
    </row>
    <row r="595" spans="5:5" x14ac:dyDescent="0.25">
      <c r="E595" t="s">
        <v>149</v>
      </c>
    </row>
    <row r="596" spans="5:5" x14ac:dyDescent="0.25">
      <c r="E596" t="s">
        <v>149</v>
      </c>
    </row>
    <row r="597" spans="5:5" x14ac:dyDescent="0.25">
      <c r="E597" t="s">
        <v>149</v>
      </c>
    </row>
    <row r="598" spans="5:5" x14ac:dyDescent="0.25">
      <c r="E598" t="s">
        <v>149</v>
      </c>
    </row>
    <row r="599" spans="5:5" x14ac:dyDescent="0.25">
      <c r="E599" t="s">
        <v>149</v>
      </c>
    </row>
    <row r="600" spans="5:5" x14ac:dyDescent="0.25">
      <c r="E600" t="s">
        <v>149</v>
      </c>
    </row>
    <row r="601" spans="5:5" x14ac:dyDescent="0.25">
      <c r="E601" t="s">
        <v>149</v>
      </c>
    </row>
    <row r="602" spans="5:5" x14ac:dyDescent="0.25">
      <c r="E602" t="s">
        <v>149</v>
      </c>
    </row>
    <row r="603" spans="5:5" x14ac:dyDescent="0.25">
      <c r="E603" t="s">
        <v>149</v>
      </c>
    </row>
    <row r="604" spans="5:5" x14ac:dyDescent="0.25">
      <c r="E604" t="s">
        <v>149</v>
      </c>
    </row>
    <row r="605" spans="5:5" x14ac:dyDescent="0.25">
      <c r="E605" t="s">
        <v>149</v>
      </c>
    </row>
    <row r="606" spans="5:5" x14ac:dyDescent="0.25">
      <c r="E606" t="s">
        <v>149</v>
      </c>
    </row>
    <row r="607" spans="5:5" x14ac:dyDescent="0.25">
      <c r="E607" t="s">
        <v>149</v>
      </c>
    </row>
    <row r="608" spans="5:5" x14ac:dyDescent="0.25">
      <c r="E608" t="s">
        <v>149</v>
      </c>
    </row>
    <row r="609" spans="5:5" x14ac:dyDescent="0.25">
      <c r="E609" t="s">
        <v>149</v>
      </c>
    </row>
    <row r="610" spans="5:5" x14ac:dyDescent="0.25">
      <c r="E610" t="s">
        <v>149</v>
      </c>
    </row>
    <row r="611" spans="5:5" x14ac:dyDescent="0.25">
      <c r="E611" t="s">
        <v>149</v>
      </c>
    </row>
    <row r="612" spans="5:5" x14ac:dyDescent="0.25">
      <c r="E612" t="s">
        <v>149</v>
      </c>
    </row>
    <row r="613" spans="5:5" x14ac:dyDescent="0.25">
      <c r="E613" t="s">
        <v>149</v>
      </c>
    </row>
    <row r="614" spans="5:5" x14ac:dyDescent="0.25">
      <c r="E614" t="s">
        <v>149</v>
      </c>
    </row>
    <row r="615" spans="5:5" x14ac:dyDescent="0.25">
      <c r="E615" t="s">
        <v>149</v>
      </c>
    </row>
    <row r="616" spans="5:5" x14ac:dyDescent="0.25">
      <c r="E616" t="s">
        <v>149</v>
      </c>
    </row>
    <row r="617" spans="5:5" x14ac:dyDescent="0.25">
      <c r="E617" t="s">
        <v>149</v>
      </c>
    </row>
    <row r="618" spans="5:5" x14ac:dyDescent="0.25">
      <c r="E618" t="s">
        <v>149</v>
      </c>
    </row>
    <row r="619" spans="5:5" x14ac:dyDescent="0.25">
      <c r="E619" t="s">
        <v>149</v>
      </c>
    </row>
    <row r="620" spans="5:5" x14ac:dyDescent="0.25">
      <c r="E620" t="s">
        <v>149</v>
      </c>
    </row>
    <row r="621" spans="5:5" x14ac:dyDescent="0.25">
      <c r="E621" t="s">
        <v>149</v>
      </c>
    </row>
    <row r="622" spans="5:5" x14ac:dyDescent="0.25">
      <c r="E622" t="s">
        <v>149</v>
      </c>
    </row>
    <row r="623" spans="5:5" x14ac:dyDescent="0.25">
      <c r="E623" t="s">
        <v>149</v>
      </c>
    </row>
    <row r="624" spans="5:5" x14ac:dyDescent="0.25">
      <c r="E624" t="s">
        <v>149</v>
      </c>
    </row>
    <row r="625" spans="5:5" x14ac:dyDescent="0.25">
      <c r="E625" t="s">
        <v>149</v>
      </c>
    </row>
    <row r="626" spans="5:5" x14ac:dyDescent="0.25">
      <c r="E626" t="s">
        <v>149</v>
      </c>
    </row>
    <row r="627" spans="5:5" x14ac:dyDescent="0.25">
      <c r="E627" t="s">
        <v>149</v>
      </c>
    </row>
    <row r="628" spans="5:5" x14ac:dyDescent="0.25">
      <c r="E628" t="s">
        <v>149</v>
      </c>
    </row>
    <row r="629" spans="5:5" x14ac:dyDescent="0.25">
      <c r="E629" t="s">
        <v>149</v>
      </c>
    </row>
    <row r="630" spans="5:5" x14ac:dyDescent="0.25">
      <c r="E630" t="s">
        <v>149</v>
      </c>
    </row>
    <row r="631" spans="5:5" x14ac:dyDescent="0.25">
      <c r="E631" t="s">
        <v>149</v>
      </c>
    </row>
    <row r="632" spans="5:5" x14ac:dyDescent="0.25">
      <c r="E632" t="s">
        <v>149</v>
      </c>
    </row>
    <row r="633" spans="5:5" x14ac:dyDescent="0.25">
      <c r="E633" t="s">
        <v>149</v>
      </c>
    </row>
    <row r="634" spans="5:5" x14ac:dyDescent="0.25">
      <c r="E634" t="s">
        <v>149</v>
      </c>
    </row>
    <row r="635" spans="5:5" x14ac:dyDescent="0.25">
      <c r="E635" t="s">
        <v>149</v>
      </c>
    </row>
    <row r="636" spans="5:5" x14ac:dyDescent="0.25">
      <c r="E636" t="s">
        <v>149</v>
      </c>
    </row>
    <row r="637" spans="5:5" x14ac:dyDescent="0.25">
      <c r="E637" t="s">
        <v>149</v>
      </c>
    </row>
    <row r="638" spans="5:5" x14ac:dyDescent="0.25">
      <c r="E638" t="s">
        <v>149</v>
      </c>
    </row>
    <row r="639" spans="5:5" x14ac:dyDescent="0.25">
      <c r="E639" t="s">
        <v>149</v>
      </c>
    </row>
    <row r="640" spans="5:5" x14ac:dyDescent="0.25">
      <c r="E640" t="s">
        <v>149</v>
      </c>
    </row>
    <row r="641" spans="5:5" x14ac:dyDescent="0.25">
      <c r="E641" t="s">
        <v>149</v>
      </c>
    </row>
    <row r="642" spans="5:5" x14ac:dyDescent="0.25">
      <c r="E642" t="s">
        <v>149</v>
      </c>
    </row>
    <row r="643" spans="5:5" x14ac:dyDescent="0.25">
      <c r="E643" t="s">
        <v>149</v>
      </c>
    </row>
    <row r="644" spans="5:5" x14ac:dyDescent="0.25">
      <c r="E644" t="s">
        <v>149</v>
      </c>
    </row>
    <row r="645" spans="5:5" x14ac:dyDescent="0.25">
      <c r="E645" t="s">
        <v>149</v>
      </c>
    </row>
    <row r="646" spans="5:5" x14ac:dyDescent="0.25">
      <c r="E646" t="s">
        <v>149</v>
      </c>
    </row>
    <row r="647" spans="5:5" x14ac:dyDescent="0.25">
      <c r="E647" t="s">
        <v>149</v>
      </c>
    </row>
    <row r="648" spans="5:5" x14ac:dyDescent="0.25">
      <c r="E648" t="s">
        <v>149</v>
      </c>
    </row>
    <row r="649" spans="5:5" x14ac:dyDescent="0.25">
      <c r="E649" t="s">
        <v>149</v>
      </c>
    </row>
    <row r="650" spans="5:5" x14ac:dyDescent="0.25">
      <c r="E650" t="s">
        <v>149</v>
      </c>
    </row>
    <row r="651" spans="5:5" x14ac:dyDescent="0.25">
      <c r="E651" t="s">
        <v>149</v>
      </c>
    </row>
    <row r="652" spans="5:5" x14ac:dyDescent="0.25">
      <c r="E652" t="s">
        <v>149</v>
      </c>
    </row>
    <row r="653" spans="5:5" x14ac:dyDescent="0.25">
      <c r="E653" t="s">
        <v>149</v>
      </c>
    </row>
    <row r="654" spans="5:5" x14ac:dyDescent="0.25">
      <c r="E654" t="s">
        <v>149</v>
      </c>
    </row>
    <row r="655" spans="5:5" x14ac:dyDescent="0.25">
      <c r="E655" t="s">
        <v>149</v>
      </c>
    </row>
    <row r="656" spans="5:5" x14ac:dyDescent="0.25">
      <c r="E656" t="s">
        <v>149</v>
      </c>
    </row>
    <row r="657" spans="5:5" x14ac:dyDescent="0.25">
      <c r="E657" t="s">
        <v>149</v>
      </c>
    </row>
    <row r="658" spans="5:5" x14ac:dyDescent="0.25">
      <c r="E658" t="s">
        <v>149</v>
      </c>
    </row>
    <row r="659" spans="5:5" x14ac:dyDescent="0.25">
      <c r="E659" t="s">
        <v>149</v>
      </c>
    </row>
    <row r="660" spans="5:5" x14ac:dyDescent="0.25">
      <c r="E660" t="s">
        <v>149</v>
      </c>
    </row>
    <row r="661" spans="5:5" x14ac:dyDescent="0.25">
      <c r="E661" t="s">
        <v>149</v>
      </c>
    </row>
    <row r="662" spans="5:5" x14ac:dyDescent="0.25">
      <c r="E662" t="s">
        <v>149</v>
      </c>
    </row>
    <row r="663" spans="5:5" x14ac:dyDescent="0.25">
      <c r="E663" t="s">
        <v>149</v>
      </c>
    </row>
    <row r="664" spans="5:5" x14ac:dyDescent="0.25">
      <c r="E664" t="s">
        <v>149</v>
      </c>
    </row>
    <row r="665" spans="5:5" x14ac:dyDescent="0.25">
      <c r="E665" t="s">
        <v>149</v>
      </c>
    </row>
    <row r="666" spans="5:5" x14ac:dyDescent="0.25">
      <c r="E666" t="s">
        <v>149</v>
      </c>
    </row>
    <row r="667" spans="5:5" x14ac:dyDescent="0.25">
      <c r="E667" t="s">
        <v>149</v>
      </c>
    </row>
    <row r="668" spans="5:5" x14ac:dyDescent="0.25">
      <c r="E668" t="s">
        <v>149</v>
      </c>
    </row>
    <row r="669" spans="5:5" x14ac:dyDescent="0.25">
      <c r="E669" t="s">
        <v>149</v>
      </c>
    </row>
    <row r="670" spans="5:5" x14ac:dyDescent="0.25">
      <c r="E670" t="s">
        <v>149</v>
      </c>
    </row>
    <row r="671" spans="5:5" x14ac:dyDescent="0.25">
      <c r="E671" t="s">
        <v>149</v>
      </c>
    </row>
    <row r="672" spans="5:5" x14ac:dyDescent="0.25">
      <c r="E672" t="s">
        <v>149</v>
      </c>
    </row>
    <row r="673" spans="5:5" x14ac:dyDescent="0.25">
      <c r="E673" t="s">
        <v>149</v>
      </c>
    </row>
    <row r="674" spans="5:5" x14ac:dyDescent="0.25">
      <c r="E674" t="s">
        <v>149</v>
      </c>
    </row>
    <row r="675" spans="5:5" x14ac:dyDescent="0.25">
      <c r="E675" t="s">
        <v>149</v>
      </c>
    </row>
    <row r="676" spans="5:5" x14ac:dyDescent="0.25">
      <c r="E676" t="s">
        <v>149</v>
      </c>
    </row>
    <row r="677" spans="5:5" x14ac:dyDescent="0.25">
      <c r="E677" t="s">
        <v>149</v>
      </c>
    </row>
    <row r="678" spans="5:5" x14ac:dyDescent="0.25">
      <c r="E678" t="s">
        <v>149</v>
      </c>
    </row>
    <row r="679" spans="5:5" x14ac:dyDescent="0.25">
      <c r="E679" t="s">
        <v>149</v>
      </c>
    </row>
    <row r="680" spans="5:5" x14ac:dyDescent="0.25">
      <c r="E680" t="s">
        <v>149</v>
      </c>
    </row>
    <row r="681" spans="5:5" x14ac:dyDescent="0.25">
      <c r="E681" t="s">
        <v>149</v>
      </c>
    </row>
    <row r="682" spans="5:5" x14ac:dyDescent="0.25">
      <c r="E682" t="s">
        <v>149</v>
      </c>
    </row>
    <row r="683" spans="5:5" x14ac:dyDescent="0.25">
      <c r="E683" t="s">
        <v>149</v>
      </c>
    </row>
    <row r="684" spans="5:5" x14ac:dyDescent="0.25">
      <c r="E684" t="s">
        <v>149</v>
      </c>
    </row>
    <row r="685" spans="5:5" x14ac:dyDescent="0.25">
      <c r="E685" t="s">
        <v>149</v>
      </c>
    </row>
    <row r="686" spans="5:5" x14ac:dyDescent="0.25">
      <c r="E686" t="s">
        <v>149</v>
      </c>
    </row>
    <row r="687" spans="5:5" x14ac:dyDescent="0.25">
      <c r="E687" t="s">
        <v>149</v>
      </c>
    </row>
    <row r="688" spans="5:5" x14ac:dyDescent="0.25">
      <c r="E688" t="s">
        <v>149</v>
      </c>
    </row>
    <row r="689" spans="5:5" x14ac:dyDescent="0.25">
      <c r="E689" t="s">
        <v>149</v>
      </c>
    </row>
    <row r="690" spans="5:5" x14ac:dyDescent="0.25">
      <c r="E690" t="s">
        <v>149</v>
      </c>
    </row>
    <row r="691" spans="5:5" x14ac:dyDescent="0.25">
      <c r="E691" t="s">
        <v>149</v>
      </c>
    </row>
    <row r="692" spans="5:5" x14ac:dyDescent="0.25">
      <c r="E692" t="s">
        <v>149</v>
      </c>
    </row>
    <row r="693" spans="5:5" x14ac:dyDescent="0.25">
      <c r="E693" t="s">
        <v>149</v>
      </c>
    </row>
    <row r="694" spans="5:5" x14ac:dyDescent="0.25">
      <c r="E694" t="s">
        <v>149</v>
      </c>
    </row>
    <row r="695" spans="5:5" x14ac:dyDescent="0.25">
      <c r="E695" t="s">
        <v>149</v>
      </c>
    </row>
    <row r="696" spans="5:5" x14ac:dyDescent="0.25">
      <c r="E696" t="s">
        <v>149</v>
      </c>
    </row>
    <row r="697" spans="5:5" x14ac:dyDescent="0.25">
      <c r="E697" t="s">
        <v>149</v>
      </c>
    </row>
    <row r="698" spans="5:5" x14ac:dyDescent="0.25">
      <c r="E698" t="s">
        <v>149</v>
      </c>
    </row>
    <row r="699" spans="5:5" x14ac:dyDescent="0.25">
      <c r="E699" t="s">
        <v>149</v>
      </c>
    </row>
    <row r="700" spans="5:5" x14ac:dyDescent="0.25">
      <c r="E700" t="s">
        <v>149</v>
      </c>
    </row>
    <row r="701" spans="5:5" x14ac:dyDescent="0.25">
      <c r="E701" t="s">
        <v>149</v>
      </c>
    </row>
    <row r="702" spans="5:5" x14ac:dyDescent="0.25">
      <c r="E702" t="s">
        <v>149</v>
      </c>
    </row>
    <row r="703" spans="5:5" x14ac:dyDescent="0.25">
      <c r="E703" t="s">
        <v>149</v>
      </c>
    </row>
    <row r="704" spans="5:5" x14ac:dyDescent="0.25">
      <c r="E704" t="s">
        <v>149</v>
      </c>
    </row>
    <row r="705" spans="5:5" x14ac:dyDescent="0.25">
      <c r="E705" t="s">
        <v>149</v>
      </c>
    </row>
    <row r="706" spans="5:5" x14ac:dyDescent="0.25">
      <c r="E706" t="s">
        <v>149</v>
      </c>
    </row>
    <row r="707" spans="5:5" x14ac:dyDescent="0.25">
      <c r="E707" t="s">
        <v>149</v>
      </c>
    </row>
    <row r="708" spans="5:5" x14ac:dyDescent="0.25">
      <c r="E708" t="s">
        <v>149</v>
      </c>
    </row>
    <row r="709" spans="5:5" x14ac:dyDescent="0.25">
      <c r="E709" t="s">
        <v>149</v>
      </c>
    </row>
    <row r="710" spans="5:5" x14ac:dyDescent="0.25">
      <c r="E710" t="s">
        <v>149</v>
      </c>
    </row>
    <row r="711" spans="5:5" x14ac:dyDescent="0.25">
      <c r="E711" t="s">
        <v>149</v>
      </c>
    </row>
    <row r="712" spans="5:5" x14ac:dyDescent="0.25">
      <c r="E712" t="s">
        <v>149</v>
      </c>
    </row>
    <row r="713" spans="5:5" x14ac:dyDescent="0.25">
      <c r="E713" t="s">
        <v>149</v>
      </c>
    </row>
    <row r="714" spans="5:5" x14ac:dyDescent="0.25">
      <c r="E714" t="s">
        <v>149</v>
      </c>
    </row>
    <row r="715" spans="5:5" x14ac:dyDescent="0.25">
      <c r="E715" t="s">
        <v>149</v>
      </c>
    </row>
    <row r="716" spans="5:5" x14ac:dyDescent="0.25">
      <c r="E716" t="s">
        <v>149</v>
      </c>
    </row>
    <row r="717" spans="5:5" x14ac:dyDescent="0.25">
      <c r="E717" t="s">
        <v>149</v>
      </c>
    </row>
    <row r="718" spans="5:5" x14ac:dyDescent="0.25">
      <c r="E718" t="s">
        <v>149</v>
      </c>
    </row>
    <row r="719" spans="5:5" x14ac:dyDescent="0.25">
      <c r="E719" t="s">
        <v>149</v>
      </c>
    </row>
    <row r="720" spans="5:5" x14ac:dyDescent="0.25">
      <c r="E720" t="s">
        <v>149</v>
      </c>
    </row>
    <row r="721" spans="5:5" x14ac:dyDescent="0.25">
      <c r="E721" t="s">
        <v>149</v>
      </c>
    </row>
    <row r="722" spans="5:5" x14ac:dyDescent="0.25">
      <c r="E722" t="s">
        <v>149</v>
      </c>
    </row>
    <row r="723" spans="5:5" x14ac:dyDescent="0.25">
      <c r="E723" t="s">
        <v>149</v>
      </c>
    </row>
    <row r="724" spans="5:5" x14ac:dyDescent="0.25">
      <c r="E724" t="s">
        <v>149</v>
      </c>
    </row>
    <row r="725" spans="5:5" x14ac:dyDescent="0.25">
      <c r="E725" t="s">
        <v>149</v>
      </c>
    </row>
    <row r="726" spans="5:5" x14ac:dyDescent="0.25">
      <c r="E726" t="s">
        <v>149</v>
      </c>
    </row>
    <row r="727" spans="5:5" x14ac:dyDescent="0.25">
      <c r="E727" t="s">
        <v>149</v>
      </c>
    </row>
    <row r="728" spans="5:5" x14ac:dyDescent="0.25">
      <c r="E728" t="s">
        <v>149</v>
      </c>
    </row>
    <row r="729" spans="5:5" x14ac:dyDescent="0.25">
      <c r="E729" t="s">
        <v>149</v>
      </c>
    </row>
    <row r="730" spans="5:5" x14ac:dyDescent="0.25">
      <c r="E730" t="s">
        <v>149</v>
      </c>
    </row>
    <row r="731" spans="5:5" x14ac:dyDescent="0.25">
      <c r="E731" t="s">
        <v>149</v>
      </c>
    </row>
    <row r="732" spans="5:5" x14ac:dyDescent="0.25">
      <c r="E732" t="s">
        <v>149</v>
      </c>
    </row>
    <row r="733" spans="5:5" x14ac:dyDescent="0.25">
      <c r="E733" t="s">
        <v>149</v>
      </c>
    </row>
    <row r="734" spans="5:5" x14ac:dyDescent="0.25">
      <c r="E734" t="s">
        <v>149</v>
      </c>
    </row>
    <row r="735" spans="5:5" x14ac:dyDescent="0.25">
      <c r="E735" t="s">
        <v>149</v>
      </c>
    </row>
    <row r="736" spans="5:5" x14ac:dyDescent="0.25">
      <c r="E736" t="s">
        <v>149</v>
      </c>
    </row>
    <row r="737" spans="5:5" x14ac:dyDescent="0.25">
      <c r="E737" t="s">
        <v>149</v>
      </c>
    </row>
    <row r="738" spans="5:5" x14ac:dyDescent="0.25">
      <c r="E738" t="s">
        <v>149</v>
      </c>
    </row>
    <row r="739" spans="5:5" x14ac:dyDescent="0.25">
      <c r="E739" t="s">
        <v>149</v>
      </c>
    </row>
    <row r="740" spans="5:5" x14ac:dyDescent="0.25">
      <c r="E740" t="s">
        <v>149</v>
      </c>
    </row>
    <row r="741" spans="5:5" x14ac:dyDescent="0.25">
      <c r="E741" t="s">
        <v>149</v>
      </c>
    </row>
    <row r="742" spans="5:5" x14ac:dyDescent="0.25">
      <c r="E742" t="s">
        <v>149</v>
      </c>
    </row>
    <row r="743" spans="5:5" x14ac:dyDescent="0.25">
      <c r="E743" t="s">
        <v>149</v>
      </c>
    </row>
    <row r="744" spans="5:5" x14ac:dyDescent="0.25">
      <c r="E744" t="s">
        <v>149</v>
      </c>
    </row>
    <row r="745" spans="5:5" x14ac:dyDescent="0.25">
      <c r="E745" t="s">
        <v>149</v>
      </c>
    </row>
    <row r="746" spans="5:5" x14ac:dyDescent="0.25">
      <c r="E746" t="s">
        <v>149</v>
      </c>
    </row>
    <row r="747" spans="5:5" x14ac:dyDescent="0.25">
      <c r="E747" t="s">
        <v>149</v>
      </c>
    </row>
    <row r="748" spans="5:5" x14ac:dyDescent="0.25">
      <c r="E748" t="s">
        <v>149</v>
      </c>
    </row>
    <row r="749" spans="5:5" x14ac:dyDescent="0.25">
      <c r="E749" t="s">
        <v>149</v>
      </c>
    </row>
    <row r="750" spans="5:5" x14ac:dyDescent="0.25">
      <c r="E750" t="s">
        <v>149</v>
      </c>
    </row>
    <row r="751" spans="5:5" x14ac:dyDescent="0.25">
      <c r="E751" t="s">
        <v>149</v>
      </c>
    </row>
    <row r="752" spans="5:5" x14ac:dyDescent="0.25">
      <c r="E752" t="s">
        <v>149</v>
      </c>
    </row>
    <row r="753" spans="5:5" x14ac:dyDescent="0.25">
      <c r="E753" t="s">
        <v>149</v>
      </c>
    </row>
    <row r="754" spans="5:5" x14ac:dyDescent="0.25">
      <c r="E754" t="s">
        <v>149</v>
      </c>
    </row>
    <row r="755" spans="5:5" x14ac:dyDescent="0.25">
      <c r="E755" t="s">
        <v>149</v>
      </c>
    </row>
    <row r="756" spans="5:5" x14ac:dyDescent="0.25">
      <c r="E756" t="s">
        <v>149</v>
      </c>
    </row>
    <row r="757" spans="5:5" x14ac:dyDescent="0.25">
      <c r="E757" t="s">
        <v>149</v>
      </c>
    </row>
    <row r="758" spans="5:5" x14ac:dyDescent="0.25">
      <c r="E758" t="s">
        <v>149</v>
      </c>
    </row>
    <row r="759" spans="5:5" x14ac:dyDescent="0.25">
      <c r="E759" t="s">
        <v>149</v>
      </c>
    </row>
    <row r="760" spans="5:5" x14ac:dyDescent="0.25">
      <c r="E760" t="s">
        <v>149</v>
      </c>
    </row>
    <row r="761" spans="5:5" x14ac:dyDescent="0.25">
      <c r="E761" t="s">
        <v>149</v>
      </c>
    </row>
    <row r="762" spans="5:5" x14ac:dyDescent="0.25">
      <c r="E762" t="s">
        <v>149</v>
      </c>
    </row>
    <row r="763" spans="5:5" x14ac:dyDescent="0.25">
      <c r="E763" t="s">
        <v>149</v>
      </c>
    </row>
    <row r="764" spans="5:5" x14ac:dyDescent="0.25">
      <c r="E764" t="s">
        <v>149</v>
      </c>
    </row>
    <row r="765" spans="5:5" x14ac:dyDescent="0.25">
      <c r="E765" t="s">
        <v>149</v>
      </c>
    </row>
    <row r="766" spans="5:5" x14ac:dyDescent="0.25">
      <c r="E766" t="s">
        <v>149</v>
      </c>
    </row>
    <row r="767" spans="5:5" x14ac:dyDescent="0.25">
      <c r="E767" t="s">
        <v>149</v>
      </c>
    </row>
    <row r="768" spans="5:5" x14ac:dyDescent="0.25">
      <c r="E768" t="s">
        <v>149</v>
      </c>
    </row>
    <row r="769" spans="5:5" x14ac:dyDescent="0.25">
      <c r="E769" t="s">
        <v>149</v>
      </c>
    </row>
    <row r="770" spans="5:5" x14ac:dyDescent="0.25">
      <c r="E770" t="s">
        <v>149</v>
      </c>
    </row>
    <row r="771" spans="5:5" x14ac:dyDescent="0.25">
      <c r="E771" t="s">
        <v>149</v>
      </c>
    </row>
    <row r="772" spans="5:5" x14ac:dyDescent="0.25">
      <c r="E772" t="s">
        <v>149</v>
      </c>
    </row>
    <row r="773" spans="5:5" x14ac:dyDescent="0.25">
      <c r="E773" t="s">
        <v>149</v>
      </c>
    </row>
    <row r="774" spans="5:5" x14ac:dyDescent="0.25">
      <c r="E774" t="s">
        <v>149</v>
      </c>
    </row>
    <row r="775" spans="5:5" x14ac:dyDescent="0.25">
      <c r="E775" t="s">
        <v>149</v>
      </c>
    </row>
    <row r="776" spans="5:5" x14ac:dyDescent="0.25">
      <c r="E776" t="s">
        <v>149</v>
      </c>
    </row>
    <row r="777" spans="5:5" x14ac:dyDescent="0.25">
      <c r="E777" t="s">
        <v>149</v>
      </c>
    </row>
    <row r="778" spans="5:5" x14ac:dyDescent="0.25">
      <c r="E778" t="s">
        <v>149</v>
      </c>
    </row>
    <row r="779" spans="5:5" x14ac:dyDescent="0.25">
      <c r="E779" t="s">
        <v>149</v>
      </c>
    </row>
    <row r="780" spans="5:5" x14ac:dyDescent="0.25">
      <c r="E780" t="s">
        <v>149</v>
      </c>
    </row>
    <row r="781" spans="5:5" x14ac:dyDescent="0.25">
      <c r="E781" t="s">
        <v>149</v>
      </c>
    </row>
    <row r="782" spans="5:5" x14ac:dyDescent="0.25">
      <c r="E782" t="s">
        <v>149</v>
      </c>
    </row>
    <row r="783" spans="5:5" x14ac:dyDescent="0.25">
      <c r="E783" t="s">
        <v>149</v>
      </c>
    </row>
    <row r="784" spans="5:5" x14ac:dyDescent="0.25">
      <c r="E784" t="s">
        <v>149</v>
      </c>
    </row>
    <row r="785" spans="5:5" x14ac:dyDescent="0.25">
      <c r="E785" t="s">
        <v>149</v>
      </c>
    </row>
    <row r="786" spans="5:5" x14ac:dyDescent="0.25">
      <c r="E786" t="s">
        <v>149</v>
      </c>
    </row>
    <row r="787" spans="5:5" x14ac:dyDescent="0.25">
      <c r="E787" t="s">
        <v>149</v>
      </c>
    </row>
    <row r="788" spans="5:5" x14ac:dyDescent="0.25">
      <c r="E788" t="s">
        <v>149</v>
      </c>
    </row>
    <row r="789" spans="5:5" x14ac:dyDescent="0.25">
      <c r="E789" t="s">
        <v>149</v>
      </c>
    </row>
    <row r="790" spans="5:5" x14ac:dyDescent="0.25">
      <c r="E790" t="s">
        <v>149</v>
      </c>
    </row>
    <row r="791" spans="5:5" x14ac:dyDescent="0.25">
      <c r="E791" t="s">
        <v>149</v>
      </c>
    </row>
    <row r="792" spans="5:5" x14ac:dyDescent="0.25">
      <c r="E792" t="s">
        <v>149</v>
      </c>
    </row>
    <row r="793" spans="5:5" x14ac:dyDescent="0.25">
      <c r="E793" t="s">
        <v>149</v>
      </c>
    </row>
    <row r="794" spans="5:5" x14ac:dyDescent="0.25">
      <c r="E794" t="s">
        <v>149</v>
      </c>
    </row>
    <row r="795" spans="5:5" x14ac:dyDescent="0.25">
      <c r="E795" t="s">
        <v>149</v>
      </c>
    </row>
    <row r="796" spans="5:5" x14ac:dyDescent="0.25">
      <c r="E796" t="s">
        <v>149</v>
      </c>
    </row>
    <row r="797" spans="5:5" x14ac:dyDescent="0.25">
      <c r="E797" t="s">
        <v>149</v>
      </c>
    </row>
    <row r="798" spans="5:5" x14ac:dyDescent="0.25">
      <c r="E798" t="s">
        <v>149</v>
      </c>
    </row>
    <row r="799" spans="5:5" x14ac:dyDescent="0.25">
      <c r="E799" t="s">
        <v>149</v>
      </c>
    </row>
    <row r="800" spans="5:5" x14ac:dyDescent="0.25">
      <c r="E800" t="s">
        <v>149</v>
      </c>
    </row>
    <row r="801" spans="5:5" x14ac:dyDescent="0.25">
      <c r="E801" t="s">
        <v>149</v>
      </c>
    </row>
    <row r="802" spans="5:5" x14ac:dyDescent="0.25">
      <c r="E802" t="s">
        <v>149</v>
      </c>
    </row>
    <row r="803" spans="5:5" x14ac:dyDescent="0.25">
      <c r="E803" t="s">
        <v>149</v>
      </c>
    </row>
    <row r="804" spans="5:5" x14ac:dyDescent="0.25">
      <c r="E804" t="s">
        <v>149</v>
      </c>
    </row>
    <row r="805" spans="5:5" x14ac:dyDescent="0.25">
      <c r="E805" t="s">
        <v>149</v>
      </c>
    </row>
    <row r="806" spans="5:5" x14ac:dyDescent="0.25">
      <c r="E806" t="s">
        <v>149</v>
      </c>
    </row>
    <row r="807" spans="5:5" x14ac:dyDescent="0.25">
      <c r="E807" t="s">
        <v>149</v>
      </c>
    </row>
    <row r="808" spans="5:5" x14ac:dyDescent="0.25">
      <c r="E808" t="s">
        <v>149</v>
      </c>
    </row>
    <row r="809" spans="5:5" x14ac:dyDescent="0.25">
      <c r="E809" t="s">
        <v>149</v>
      </c>
    </row>
    <row r="810" spans="5:5" x14ac:dyDescent="0.25">
      <c r="E810" t="s">
        <v>149</v>
      </c>
    </row>
    <row r="811" spans="5:5" x14ac:dyDescent="0.25">
      <c r="E811" t="s">
        <v>149</v>
      </c>
    </row>
    <row r="812" spans="5:5" x14ac:dyDescent="0.25">
      <c r="E812" t="s">
        <v>149</v>
      </c>
    </row>
    <row r="813" spans="5:5" x14ac:dyDescent="0.25">
      <c r="E813" t="s">
        <v>149</v>
      </c>
    </row>
    <row r="814" spans="5:5" x14ac:dyDescent="0.25">
      <c r="E814" t="s">
        <v>149</v>
      </c>
    </row>
    <row r="815" spans="5:5" x14ac:dyDescent="0.25">
      <c r="E815" t="s">
        <v>149</v>
      </c>
    </row>
    <row r="816" spans="5:5" x14ac:dyDescent="0.25">
      <c r="E816" t="s">
        <v>149</v>
      </c>
    </row>
    <row r="817" spans="5:5" x14ac:dyDescent="0.25">
      <c r="E817" t="s">
        <v>149</v>
      </c>
    </row>
    <row r="818" spans="5:5" x14ac:dyDescent="0.25">
      <c r="E818" t="s">
        <v>149</v>
      </c>
    </row>
    <row r="819" spans="5:5" x14ac:dyDescent="0.25">
      <c r="E819" t="s">
        <v>149</v>
      </c>
    </row>
    <row r="820" spans="5:5" x14ac:dyDescent="0.25">
      <c r="E820" t="s">
        <v>149</v>
      </c>
    </row>
    <row r="821" spans="5:5" x14ac:dyDescent="0.25">
      <c r="E821" t="s">
        <v>149</v>
      </c>
    </row>
    <row r="822" spans="5:5" x14ac:dyDescent="0.25">
      <c r="E822" t="s">
        <v>149</v>
      </c>
    </row>
    <row r="823" spans="5:5" x14ac:dyDescent="0.25">
      <c r="E823" t="s">
        <v>149</v>
      </c>
    </row>
    <row r="824" spans="5:5" x14ac:dyDescent="0.25">
      <c r="E824" t="s">
        <v>149</v>
      </c>
    </row>
    <row r="825" spans="5:5" x14ac:dyDescent="0.25">
      <c r="E825" t="s">
        <v>149</v>
      </c>
    </row>
    <row r="826" spans="5:5" x14ac:dyDescent="0.25">
      <c r="E826" t="s">
        <v>149</v>
      </c>
    </row>
    <row r="827" spans="5:5" x14ac:dyDescent="0.25">
      <c r="E827" t="s">
        <v>149</v>
      </c>
    </row>
    <row r="828" spans="5:5" x14ac:dyDescent="0.25">
      <c r="E828" t="s">
        <v>149</v>
      </c>
    </row>
    <row r="829" spans="5:5" x14ac:dyDescent="0.25">
      <c r="E829" t="s">
        <v>149</v>
      </c>
    </row>
    <row r="830" spans="5:5" x14ac:dyDescent="0.25">
      <c r="E830" t="s">
        <v>149</v>
      </c>
    </row>
    <row r="831" spans="5:5" x14ac:dyDescent="0.25">
      <c r="E831" t="s">
        <v>149</v>
      </c>
    </row>
    <row r="832" spans="5:5" x14ac:dyDescent="0.25">
      <c r="E832" t="s">
        <v>149</v>
      </c>
    </row>
    <row r="833" spans="5:5" x14ac:dyDescent="0.25">
      <c r="E833" t="s">
        <v>149</v>
      </c>
    </row>
    <row r="834" spans="5:5" x14ac:dyDescent="0.25">
      <c r="E834" t="s">
        <v>149</v>
      </c>
    </row>
    <row r="835" spans="5:5" x14ac:dyDescent="0.25">
      <c r="E835" t="s">
        <v>149</v>
      </c>
    </row>
    <row r="836" spans="5:5" x14ac:dyDescent="0.25">
      <c r="E836" t="s">
        <v>149</v>
      </c>
    </row>
    <row r="837" spans="5:5" x14ac:dyDescent="0.25">
      <c r="E837" t="s">
        <v>149</v>
      </c>
    </row>
    <row r="838" spans="5:5" x14ac:dyDescent="0.25">
      <c r="E838" t="s">
        <v>149</v>
      </c>
    </row>
    <row r="839" spans="5:5" x14ac:dyDescent="0.25">
      <c r="E839" t="s">
        <v>149</v>
      </c>
    </row>
    <row r="840" spans="5:5" x14ac:dyDescent="0.25">
      <c r="E840" t="s">
        <v>149</v>
      </c>
    </row>
    <row r="841" spans="5:5" x14ac:dyDescent="0.25">
      <c r="E841" t="s">
        <v>149</v>
      </c>
    </row>
    <row r="842" spans="5:5" x14ac:dyDescent="0.25">
      <c r="E842" t="s">
        <v>149</v>
      </c>
    </row>
    <row r="843" spans="5:5" x14ac:dyDescent="0.25">
      <c r="E843" t="s">
        <v>149</v>
      </c>
    </row>
    <row r="844" spans="5:5" x14ac:dyDescent="0.25">
      <c r="E844" t="s">
        <v>149</v>
      </c>
    </row>
    <row r="845" spans="5:5" x14ac:dyDescent="0.25">
      <c r="E845" t="s">
        <v>149</v>
      </c>
    </row>
    <row r="846" spans="5:5" x14ac:dyDescent="0.25">
      <c r="E846" t="s">
        <v>149</v>
      </c>
    </row>
    <row r="847" spans="5:5" x14ac:dyDescent="0.25">
      <c r="E847" t="s">
        <v>149</v>
      </c>
    </row>
    <row r="848" spans="5:5" x14ac:dyDescent="0.25">
      <c r="E848" t="s">
        <v>149</v>
      </c>
    </row>
    <row r="849" spans="5:5" x14ac:dyDescent="0.25">
      <c r="E849" t="s">
        <v>149</v>
      </c>
    </row>
    <row r="850" spans="5:5" x14ac:dyDescent="0.25">
      <c r="E850" t="s">
        <v>149</v>
      </c>
    </row>
    <row r="851" spans="5:5" x14ac:dyDescent="0.25">
      <c r="E851" t="s">
        <v>149</v>
      </c>
    </row>
    <row r="852" spans="5:5" x14ac:dyDescent="0.25">
      <c r="E852" t="s">
        <v>149</v>
      </c>
    </row>
    <row r="853" spans="5:5" x14ac:dyDescent="0.25">
      <c r="E853" t="s">
        <v>149</v>
      </c>
    </row>
    <row r="854" spans="5:5" x14ac:dyDescent="0.25">
      <c r="E854" t="s">
        <v>149</v>
      </c>
    </row>
    <row r="855" spans="5:5" x14ac:dyDescent="0.25">
      <c r="E855" t="s">
        <v>149</v>
      </c>
    </row>
    <row r="856" spans="5:5" x14ac:dyDescent="0.25">
      <c r="E856" t="s">
        <v>149</v>
      </c>
    </row>
    <row r="857" spans="5:5" x14ac:dyDescent="0.25">
      <c r="E857" t="s">
        <v>149</v>
      </c>
    </row>
    <row r="858" spans="5:5" x14ac:dyDescent="0.25">
      <c r="E858" t="s">
        <v>149</v>
      </c>
    </row>
    <row r="859" spans="5:5" x14ac:dyDescent="0.25">
      <c r="E859" t="s">
        <v>149</v>
      </c>
    </row>
    <row r="860" spans="5:5" x14ac:dyDescent="0.25">
      <c r="E860" t="s">
        <v>149</v>
      </c>
    </row>
    <row r="861" spans="5:5" x14ac:dyDescent="0.25">
      <c r="E861" t="s">
        <v>149</v>
      </c>
    </row>
    <row r="862" spans="5:5" x14ac:dyDescent="0.25">
      <c r="E862" t="s">
        <v>149</v>
      </c>
    </row>
    <row r="863" spans="5:5" x14ac:dyDescent="0.25">
      <c r="E863" t="s">
        <v>149</v>
      </c>
    </row>
    <row r="864" spans="5:5" x14ac:dyDescent="0.25">
      <c r="E864" t="s">
        <v>149</v>
      </c>
    </row>
    <row r="865" spans="5:5" x14ac:dyDescent="0.25">
      <c r="E865" t="s">
        <v>149</v>
      </c>
    </row>
    <row r="866" spans="5:5" x14ac:dyDescent="0.25">
      <c r="E866" t="s">
        <v>149</v>
      </c>
    </row>
    <row r="867" spans="5:5" x14ac:dyDescent="0.25">
      <c r="E867" t="s">
        <v>149</v>
      </c>
    </row>
    <row r="868" spans="5:5" x14ac:dyDescent="0.25">
      <c r="E868" t="s">
        <v>149</v>
      </c>
    </row>
    <row r="869" spans="5:5" x14ac:dyDescent="0.25">
      <c r="E869" t="s">
        <v>149</v>
      </c>
    </row>
    <row r="870" spans="5:5" x14ac:dyDescent="0.25">
      <c r="E870" t="s">
        <v>149</v>
      </c>
    </row>
    <row r="871" spans="5:5" x14ac:dyDescent="0.25">
      <c r="E871" t="s">
        <v>149</v>
      </c>
    </row>
    <row r="872" spans="5:5" x14ac:dyDescent="0.25">
      <c r="E872" t="s">
        <v>149</v>
      </c>
    </row>
    <row r="873" spans="5:5" x14ac:dyDescent="0.25">
      <c r="E873" t="s">
        <v>149</v>
      </c>
    </row>
    <row r="874" spans="5:5" x14ac:dyDescent="0.25">
      <c r="E874" t="s">
        <v>149</v>
      </c>
    </row>
    <row r="875" spans="5:5" x14ac:dyDescent="0.25">
      <c r="E875" t="s">
        <v>149</v>
      </c>
    </row>
    <row r="876" spans="5:5" x14ac:dyDescent="0.25">
      <c r="E876" t="s">
        <v>149</v>
      </c>
    </row>
    <row r="877" spans="5:5" x14ac:dyDescent="0.25">
      <c r="E877" t="s">
        <v>149</v>
      </c>
    </row>
    <row r="878" spans="5:5" x14ac:dyDescent="0.25">
      <c r="E878" t="s">
        <v>149</v>
      </c>
    </row>
    <row r="879" spans="5:5" x14ac:dyDescent="0.25">
      <c r="E879" t="s">
        <v>149</v>
      </c>
    </row>
    <row r="880" spans="5:5" x14ac:dyDescent="0.25">
      <c r="E880" t="s">
        <v>149</v>
      </c>
    </row>
    <row r="881" spans="5:5" x14ac:dyDescent="0.25">
      <c r="E881" t="s">
        <v>149</v>
      </c>
    </row>
    <row r="882" spans="5:5" x14ac:dyDescent="0.25">
      <c r="E882" t="s">
        <v>149</v>
      </c>
    </row>
    <row r="883" spans="5:5" x14ac:dyDescent="0.25">
      <c r="E883" t="s">
        <v>149</v>
      </c>
    </row>
    <row r="884" spans="5:5" x14ac:dyDescent="0.25">
      <c r="E884" t="s">
        <v>149</v>
      </c>
    </row>
    <row r="885" spans="5:5" x14ac:dyDescent="0.25">
      <c r="E885" t="s">
        <v>149</v>
      </c>
    </row>
    <row r="886" spans="5:5" x14ac:dyDescent="0.25">
      <c r="E886" t="s">
        <v>149</v>
      </c>
    </row>
    <row r="887" spans="5:5" x14ac:dyDescent="0.25">
      <c r="E887" t="s">
        <v>149</v>
      </c>
    </row>
    <row r="888" spans="5:5" x14ac:dyDescent="0.25">
      <c r="E888" t="s">
        <v>149</v>
      </c>
    </row>
    <row r="889" spans="5:5" x14ac:dyDescent="0.25">
      <c r="E889" t="s">
        <v>149</v>
      </c>
    </row>
    <row r="890" spans="5:5" x14ac:dyDescent="0.25">
      <c r="E890" t="s">
        <v>149</v>
      </c>
    </row>
    <row r="891" spans="5:5" x14ac:dyDescent="0.25">
      <c r="E891" t="s">
        <v>149</v>
      </c>
    </row>
    <row r="892" spans="5:5" x14ac:dyDescent="0.25">
      <c r="E892" t="s">
        <v>149</v>
      </c>
    </row>
    <row r="893" spans="5:5" x14ac:dyDescent="0.25">
      <c r="E893" t="s">
        <v>149</v>
      </c>
    </row>
    <row r="894" spans="5:5" x14ac:dyDescent="0.25">
      <c r="E894" t="s">
        <v>149</v>
      </c>
    </row>
    <row r="895" spans="5:5" x14ac:dyDescent="0.25">
      <c r="E895" t="s">
        <v>149</v>
      </c>
    </row>
    <row r="896" spans="5:5" x14ac:dyDescent="0.25">
      <c r="E896" t="s">
        <v>149</v>
      </c>
    </row>
    <row r="897" spans="5:5" x14ac:dyDescent="0.25">
      <c r="E897" t="s">
        <v>149</v>
      </c>
    </row>
    <row r="898" spans="5:5" x14ac:dyDescent="0.25">
      <c r="E898" t="s">
        <v>149</v>
      </c>
    </row>
    <row r="899" spans="5:5" x14ac:dyDescent="0.25">
      <c r="E899" t="s">
        <v>149</v>
      </c>
    </row>
    <row r="900" spans="5:5" x14ac:dyDescent="0.25">
      <c r="E900" t="s">
        <v>149</v>
      </c>
    </row>
    <row r="901" spans="5:5" x14ac:dyDescent="0.25">
      <c r="E901" t="s">
        <v>149</v>
      </c>
    </row>
    <row r="902" spans="5:5" x14ac:dyDescent="0.25">
      <c r="E902" t="s">
        <v>149</v>
      </c>
    </row>
    <row r="903" spans="5:5" x14ac:dyDescent="0.25">
      <c r="E903" t="s">
        <v>149</v>
      </c>
    </row>
    <row r="904" spans="5:5" x14ac:dyDescent="0.25">
      <c r="E904" t="s">
        <v>149</v>
      </c>
    </row>
    <row r="905" spans="5:5" x14ac:dyDescent="0.25">
      <c r="E905" t="s">
        <v>149</v>
      </c>
    </row>
    <row r="906" spans="5:5" x14ac:dyDescent="0.25">
      <c r="E906" t="s">
        <v>149</v>
      </c>
    </row>
    <row r="907" spans="5:5" x14ac:dyDescent="0.25">
      <c r="E907" t="s">
        <v>149</v>
      </c>
    </row>
    <row r="908" spans="5:5" x14ac:dyDescent="0.25">
      <c r="E908" t="s">
        <v>149</v>
      </c>
    </row>
    <row r="909" spans="5:5" x14ac:dyDescent="0.25">
      <c r="E909" t="s">
        <v>149</v>
      </c>
    </row>
    <row r="910" spans="5:5" x14ac:dyDescent="0.25">
      <c r="E910" t="s">
        <v>149</v>
      </c>
    </row>
    <row r="911" spans="5:5" x14ac:dyDescent="0.25">
      <c r="E911" t="s">
        <v>149</v>
      </c>
    </row>
    <row r="912" spans="5:5" x14ac:dyDescent="0.25">
      <c r="E912" t="s">
        <v>149</v>
      </c>
    </row>
    <row r="913" spans="5:5" x14ac:dyDescent="0.25">
      <c r="E913" t="s">
        <v>149</v>
      </c>
    </row>
    <row r="914" spans="5:5" x14ac:dyDescent="0.25">
      <c r="E914" t="s">
        <v>149</v>
      </c>
    </row>
    <row r="915" spans="5:5" x14ac:dyDescent="0.25">
      <c r="E915" t="s">
        <v>149</v>
      </c>
    </row>
    <row r="916" spans="5:5" x14ac:dyDescent="0.25">
      <c r="E916" t="s">
        <v>149</v>
      </c>
    </row>
    <row r="917" spans="5:5" x14ac:dyDescent="0.25">
      <c r="E917" t="s">
        <v>149</v>
      </c>
    </row>
    <row r="918" spans="5:5" x14ac:dyDescent="0.25">
      <c r="E918" t="s">
        <v>149</v>
      </c>
    </row>
    <row r="919" spans="5:5" x14ac:dyDescent="0.25">
      <c r="E919" t="s">
        <v>149</v>
      </c>
    </row>
    <row r="920" spans="5:5" x14ac:dyDescent="0.25">
      <c r="E920" t="s">
        <v>149</v>
      </c>
    </row>
    <row r="921" spans="5:5" x14ac:dyDescent="0.25">
      <c r="E921" t="s">
        <v>149</v>
      </c>
    </row>
    <row r="922" spans="5:5" x14ac:dyDescent="0.25">
      <c r="E922" t="s">
        <v>149</v>
      </c>
    </row>
    <row r="923" spans="5:5" x14ac:dyDescent="0.25">
      <c r="E923" t="s">
        <v>149</v>
      </c>
    </row>
    <row r="924" spans="5:5" x14ac:dyDescent="0.25">
      <c r="E924" t="s">
        <v>149</v>
      </c>
    </row>
    <row r="925" spans="5:5" x14ac:dyDescent="0.25">
      <c r="E925" t="s">
        <v>149</v>
      </c>
    </row>
    <row r="926" spans="5:5" x14ac:dyDescent="0.25">
      <c r="E926" t="s">
        <v>149</v>
      </c>
    </row>
    <row r="927" spans="5:5" x14ac:dyDescent="0.25">
      <c r="E927" t="s">
        <v>149</v>
      </c>
    </row>
    <row r="928" spans="5:5" x14ac:dyDescent="0.25">
      <c r="E928" t="s">
        <v>149</v>
      </c>
    </row>
    <row r="929" spans="5:5" x14ac:dyDescent="0.25">
      <c r="E929" t="s">
        <v>149</v>
      </c>
    </row>
    <row r="930" spans="5:5" x14ac:dyDescent="0.25">
      <c r="E930" t="s">
        <v>149</v>
      </c>
    </row>
    <row r="931" spans="5:5" x14ac:dyDescent="0.25">
      <c r="E931" t="s">
        <v>149</v>
      </c>
    </row>
    <row r="932" spans="5:5" x14ac:dyDescent="0.25">
      <c r="E932" t="s">
        <v>149</v>
      </c>
    </row>
    <row r="933" spans="5:5" x14ac:dyDescent="0.25">
      <c r="E933" t="s">
        <v>149</v>
      </c>
    </row>
    <row r="934" spans="5:5" x14ac:dyDescent="0.25">
      <c r="E934" t="s">
        <v>149</v>
      </c>
    </row>
    <row r="935" spans="5:5" x14ac:dyDescent="0.25">
      <c r="E935" t="s">
        <v>149</v>
      </c>
    </row>
    <row r="936" spans="5:5" x14ac:dyDescent="0.25">
      <c r="E936" t="s">
        <v>149</v>
      </c>
    </row>
    <row r="937" spans="5:5" x14ac:dyDescent="0.25">
      <c r="E937" t="s">
        <v>149</v>
      </c>
    </row>
    <row r="938" spans="5:5" x14ac:dyDescent="0.25">
      <c r="E938" t="s">
        <v>149</v>
      </c>
    </row>
    <row r="939" spans="5:5" x14ac:dyDescent="0.25">
      <c r="E939" t="s">
        <v>149</v>
      </c>
    </row>
    <row r="940" spans="5:5" x14ac:dyDescent="0.25">
      <c r="E940" t="s">
        <v>149</v>
      </c>
    </row>
    <row r="941" spans="5:5" x14ac:dyDescent="0.25">
      <c r="E941" t="s">
        <v>149</v>
      </c>
    </row>
    <row r="942" spans="5:5" x14ac:dyDescent="0.25">
      <c r="E942" t="s">
        <v>149</v>
      </c>
    </row>
    <row r="943" spans="5:5" x14ac:dyDescent="0.25">
      <c r="E943" t="s">
        <v>149</v>
      </c>
    </row>
    <row r="944" spans="5:5" x14ac:dyDescent="0.25">
      <c r="E944" t="s">
        <v>149</v>
      </c>
    </row>
    <row r="945" spans="5:5" x14ac:dyDescent="0.25">
      <c r="E945" t="s">
        <v>149</v>
      </c>
    </row>
    <row r="946" spans="5:5" x14ac:dyDescent="0.25">
      <c r="E946" t="s">
        <v>149</v>
      </c>
    </row>
    <row r="947" spans="5:5" x14ac:dyDescent="0.25">
      <c r="E947" t="s">
        <v>149</v>
      </c>
    </row>
    <row r="948" spans="5:5" x14ac:dyDescent="0.25">
      <c r="E948" t="s">
        <v>149</v>
      </c>
    </row>
    <row r="949" spans="5:5" x14ac:dyDescent="0.25">
      <c r="E949" t="s">
        <v>149</v>
      </c>
    </row>
    <row r="950" spans="5:5" x14ac:dyDescent="0.25">
      <c r="E950" t="s">
        <v>149</v>
      </c>
    </row>
    <row r="951" spans="5:5" x14ac:dyDescent="0.25">
      <c r="E951" t="s">
        <v>149</v>
      </c>
    </row>
    <row r="952" spans="5:5" x14ac:dyDescent="0.25">
      <c r="E952" t="s">
        <v>149</v>
      </c>
    </row>
    <row r="953" spans="5:5" x14ac:dyDescent="0.25">
      <c r="E953" t="s">
        <v>149</v>
      </c>
    </row>
    <row r="954" spans="5:5" x14ac:dyDescent="0.25">
      <c r="E954" t="s">
        <v>149</v>
      </c>
    </row>
    <row r="955" spans="5:5" x14ac:dyDescent="0.25">
      <c r="E955" t="s">
        <v>149</v>
      </c>
    </row>
    <row r="956" spans="5:5" x14ac:dyDescent="0.25">
      <c r="E956" t="s">
        <v>149</v>
      </c>
    </row>
    <row r="957" spans="5:5" x14ac:dyDescent="0.25">
      <c r="E957" t="s">
        <v>149</v>
      </c>
    </row>
    <row r="958" spans="5:5" x14ac:dyDescent="0.25">
      <c r="E958" t="s">
        <v>149</v>
      </c>
    </row>
    <row r="959" spans="5:5" x14ac:dyDescent="0.25">
      <c r="E959" t="s">
        <v>149</v>
      </c>
    </row>
    <row r="960" spans="5:5" x14ac:dyDescent="0.25">
      <c r="E960" t="s">
        <v>149</v>
      </c>
    </row>
    <row r="961" spans="5:5" x14ac:dyDescent="0.25">
      <c r="E961" t="s">
        <v>149</v>
      </c>
    </row>
    <row r="962" spans="5:5" x14ac:dyDescent="0.25">
      <c r="E962" t="s">
        <v>149</v>
      </c>
    </row>
    <row r="963" spans="5:5" x14ac:dyDescent="0.25">
      <c r="E963" t="s">
        <v>149</v>
      </c>
    </row>
    <row r="964" spans="5:5" x14ac:dyDescent="0.25">
      <c r="E964" t="s">
        <v>149</v>
      </c>
    </row>
    <row r="965" spans="5:5" x14ac:dyDescent="0.25">
      <c r="E965" t="s">
        <v>149</v>
      </c>
    </row>
    <row r="966" spans="5:5" x14ac:dyDescent="0.25">
      <c r="E966" t="s">
        <v>149</v>
      </c>
    </row>
    <row r="967" spans="5:5" x14ac:dyDescent="0.25">
      <c r="E967" t="s">
        <v>149</v>
      </c>
    </row>
    <row r="968" spans="5:5" x14ac:dyDescent="0.25">
      <c r="E968" t="s">
        <v>149</v>
      </c>
    </row>
    <row r="969" spans="5:5" x14ac:dyDescent="0.25">
      <c r="E969" t="s">
        <v>149</v>
      </c>
    </row>
    <row r="970" spans="5:5" x14ac:dyDescent="0.25">
      <c r="E970" t="s">
        <v>149</v>
      </c>
    </row>
    <row r="971" spans="5:5" x14ac:dyDescent="0.25">
      <c r="E971" t="s">
        <v>149</v>
      </c>
    </row>
    <row r="972" spans="5:5" x14ac:dyDescent="0.25">
      <c r="E972" t="s">
        <v>149</v>
      </c>
    </row>
    <row r="973" spans="5:5" x14ac:dyDescent="0.25">
      <c r="E973" t="s">
        <v>149</v>
      </c>
    </row>
    <row r="974" spans="5:5" x14ac:dyDescent="0.25">
      <c r="E974" t="s">
        <v>149</v>
      </c>
    </row>
    <row r="975" spans="5:5" x14ac:dyDescent="0.25">
      <c r="E975" t="s">
        <v>149</v>
      </c>
    </row>
    <row r="976" spans="5:5" x14ac:dyDescent="0.25">
      <c r="E976" t="s">
        <v>149</v>
      </c>
    </row>
    <row r="977" spans="5:5" x14ac:dyDescent="0.25">
      <c r="E977" t="s">
        <v>149</v>
      </c>
    </row>
    <row r="978" spans="5:5" x14ac:dyDescent="0.25">
      <c r="E978" t="s">
        <v>149</v>
      </c>
    </row>
    <row r="979" spans="5:5" x14ac:dyDescent="0.25">
      <c r="E979" t="s">
        <v>149</v>
      </c>
    </row>
    <row r="980" spans="5:5" x14ac:dyDescent="0.25">
      <c r="E980" t="s">
        <v>149</v>
      </c>
    </row>
    <row r="981" spans="5:5" x14ac:dyDescent="0.25">
      <c r="E981" t="s">
        <v>149</v>
      </c>
    </row>
    <row r="982" spans="5:5" x14ac:dyDescent="0.25">
      <c r="E982" t="s">
        <v>149</v>
      </c>
    </row>
    <row r="983" spans="5:5" x14ac:dyDescent="0.25">
      <c r="E983" t="s">
        <v>149</v>
      </c>
    </row>
    <row r="984" spans="5:5" x14ac:dyDescent="0.25">
      <c r="E984" t="s">
        <v>149</v>
      </c>
    </row>
    <row r="985" spans="5:5" x14ac:dyDescent="0.25">
      <c r="E985" t="s">
        <v>149</v>
      </c>
    </row>
    <row r="986" spans="5:5" x14ac:dyDescent="0.25">
      <c r="E986" t="s">
        <v>149</v>
      </c>
    </row>
    <row r="987" spans="5:5" x14ac:dyDescent="0.25">
      <c r="E987" t="s">
        <v>149</v>
      </c>
    </row>
    <row r="988" spans="5:5" x14ac:dyDescent="0.25">
      <c r="E988" t="s">
        <v>149</v>
      </c>
    </row>
    <row r="989" spans="5:5" x14ac:dyDescent="0.25">
      <c r="E989" t="s">
        <v>149</v>
      </c>
    </row>
    <row r="990" spans="5:5" x14ac:dyDescent="0.25">
      <c r="E990" t="s">
        <v>149</v>
      </c>
    </row>
    <row r="991" spans="5:5" x14ac:dyDescent="0.25">
      <c r="E991" t="s">
        <v>149</v>
      </c>
    </row>
    <row r="992" spans="5:5" x14ac:dyDescent="0.25">
      <c r="E992" t="s">
        <v>149</v>
      </c>
    </row>
    <row r="993" spans="5:5" x14ac:dyDescent="0.25">
      <c r="E993" t="s">
        <v>149</v>
      </c>
    </row>
    <row r="994" spans="5:5" x14ac:dyDescent="0.25">
      <c r="E994" t="s">
        <v>149</v>
      </c>
    </row>
    <row r="995" spans="5:5" x14ac:dyDescent="0.25">
      <c r="E995" t="s">
        <v>149</v>
      </c>
    </row>
    <row r="996" spans="5:5" x14ac:dyDescent="0.25">
      <c r="E996" t="s">
        <v>149</v>
      </c>
    </row>
    <row r="997" spans="5:5" x14ac:dyDescent="0.25">
      <c r="E997" t="s">
        <v>149</v>
      </c>
    </row>
    <row r="998" spans="5:5" x14ac:dyDescent="0.25">
      <c r="E998" t="s">
        <v>149</v>
      </c>
    </row>
    <row r="999" spans="5:5" x14ac:dyDescent="0.25">
      <c r="E999" t="s">
        <v>149</v>
      </c>
    </row>
    <row r="1000" spans="5:5" x14ac:dyDescent="0.25">
      <c r="E1000" t="s">
        <v>149</v>
      </c>
    </row>
    <row r="1001" spans="5:5" x14ac:dyDescent="0.25">
      <c r="E1001" t="s">
        <v>149</v>
      </c>
    </row>
    <row r="1002" spans="5:5" x14ac:dyDescent="0.25">
      <c r="E1002" t="s">
        <v>149</v>
      </c>
    </row>
    <row r="1003" spans="5:5" x14ac:dyDescent="0.25">
      <c r="E1003" t="s">
        <v>149</v>
      </c>
    </row>
    <row r="1004" spans="5:5" x14ac:dyDescent="0.25">
      <c r="E1004" t="s">
        <v>149</v>
      </c>
    </row>
    <row r="1005" spans="5:5" x14ac:dyDescent="0.25">
      <c r="E1005" t="s">
        <v>149</v>
      </c>
    </row>
    <row r="1006" spans="5:5" x14ac:dyDescent="0.25">
      <c r="E1006" t="s">
        <v>149</v>
      </c>
    </row>
    <row r="1007" spans="5:5" x14ac:dyDescent="0.25">
      <c r="E1007" t="s">
        <v>149</v>
      </c>
    </row>
    <row r="1008" spans="5:5" x14ac:dyDescent="0.25">
      <c r="E1008" t="s">
        <v>149</v>
      </c>
    </row>
    <row r="1009" spans="5:5" x14ac:dyDescent="0.25">
      <c r="E1009" t="s">
        <v>149</v>
      </c>
    </row>
    <row r="1010" spans="5:5" x14ac:dyDescent="0.25">
      <c r="E1010" t="s">
        <v>149</v>
      </c>
    </row>
    <row r="1011" spans="5:5" x14ac:dyDescent="0.25">
      <c r="E1011" t="s">
        <v>149</v>
      </c>
    </row>
    <row r="1012" spans="5:5" x14ac:dyDescent="0.25">
      <c r="E1012" t="s">
        <v>149</v>
      </c>
    </row>
    <row r="1013" spans="5:5" x14ac:dyDescent="0.25">
      <c r="E1013" t="s">
        <v>149</v>
      </c>
    </row>
    <row r="1014" spans="5:5" x14ac:dyDescent="0.25">
      <c r="E1014" t="s">
        <v>149</v>
      </c>
    </row>
    <row r="1015" spans="5:5" x14ac:dyDescent="0.25">
      <c r="E1015" t="s">
        <v>149</v>
      </c>
    </row>
    <row r="1016" spans="5:5" x14ac:dyDescent="0.25">
      <c r="E1016" t="s">
        <v>149</v>
      </c>
    </row>
    <row r="1017" spans="5:5" x14ac:dyDescent="0.25">
      <c r="E1017" t="s">
        <v>149</v>
      </c>
    </row>
    <row r="1018" spans="5:5" x14ac:dyDescent="0.25">
      <c r="E1018" t="s">
        <v>149</v>
      </c>
    </row>
    <row r="1019" spans="5:5" x14ac:dyDescent="0.25">
      <c r="E1019" t="s">
        <v>149</v>
      </c>
    </row>
    <row r="1020" spans="5:5" x14ac:dyDescent="0.25">
      <c r="E1020" t="s">
        <v>149</v>
      </c>
    </row>
    <row r="1021" spans="5:5" x14ac:dyDescent="0.25">
      <c r="E1021" t="s">
        <v>149</v>
      </c>
    </row>
    <row r="1022" spans="5:5" x14ac:dyDescent="0.25">
      <c r="E1022" t="s">
        <v>149</v>
      </c>
    </row>
    <row r="1023" spans="5:5" x14ac:dyDescent="0.25">
      <c r="E1023" t="s">
        <v>149</v>
      </c>
    </row>
    <row r="1024" spans="5:5" x14ac:dyDescent="0.25">
      <c r="E1024" t="s">
        <v>149</v>
      </c>
    </row>
    <row r="1025" spans="5:5" x14ac:dyDescent="0.25">
      <c r="E1025" t="s">
        <v>149</v>
      </c>
    </row>
    <row r="1026" spans="5:5" x14ac:dyDescent="0.25">
      <c r="E1026" t="s">
        <v>149</v>
      </c>
    </row>
    <row r="1027" spans="5:5" x14ac:dyDescent="0.25">
      <c r="E1027" t="s">
        <v>149</v>
      </c>
    </row>
    <row r="1028" spans="5:5" x14ac:dyDescent="0.25">
      <c r="E1028" t="s">
        <v>149</v>
      </c>
    </row>
    <row r="1029" spans="5:5" x14ac:dyDescent="0.25">
      <c r="E1029" t="s">
        <v>149</v>
      </c>
    </row>
    <row r="1030" spans="5:5" x14ac:dyDescent="0.25">
      <c r="E1030" t="s">
        <v>149</v>
      </c>
    </row>
    <row r="1031" spans="5:5" x14ac:dyDescent="0.25">
      <c r="E1031" t="s">
        <v>149</v>
      </c>
    </row>
    <row r="1032" spans="5:5" x14ac:dyDescent="0.25">
      <c r="E1032" t="s">
        <v>149</v>
      </c>
    </row>
    <row r="1033" spans="5:5" x14ac:dyDescent="0.25">
      <c r="E1033" t="s">
        <v>149</v>
      </c>
    </row>
    <row r="1034" spans="5:5" x14ac:dyDescent="0.25">
      <c r="E1034" t="s">
        <v>149</v>
      </c>
    </row>
    <row r="1035" spans="5:5" x14ac:dyDescent="0.25">
      <c r="E1035" t="s">
        <v>149</v>
      </c>
    </row>
    <row r="1036" spans="5:5" x14ac:dyDescent="0.25">
      <c r="E1036" t="s">
        <v>149</v>
      </c>
    </row>
    <row r="1037" spans="5:5" x14ac:dyDescent="0.25">
      <c r="E1037" t="s">
        <v>149</v>
      </c>
    </row>
    <row r="1038" spans="5:5" x14ac:dyDescent="0.25">
      <c r="E1038" t="s">
        <v>149</v>
      </c>
    </row>
    <row r="1039" spans="5:5" x14ac:dyDescent="0.25">
      <c r="E1039" t="s">
        <v>149</v>
      </c>
    </row>
    <row r="1040" spans="5:5" x14ac:dyDescent="0.25">
      <c r="E1040" t="s">
        <v>149</v>
      </c>
    </row>
    <row r="1041" spans="5:5" x14ac:dyDescent="0.25">
      <c r="E1041" t="s">
        <v>149</v>
      </c>
    </row>
    <row r="1042" spans="5:5" x14ac:dyDescent="0.25">
      <c r="E1042" t="s">
        <v>149</v>
      </c>
    </row>
    <row r="1043" spans="5:5" x14ac:dyDescent="0.25">
      <c r="E1043" t="s">
        <v>149</v>
      </c>
    </row>
    <row r="1044" spans="5:5" x14ac:dyDescent="0.25">
      <c r="E1044" t="s">
        <v>149</v>
      </c>
    </row>
    <row r="1045" spans="5:5" x14ac:dyDescent="0.25">
      <c r="E1045" t="s">
        <v>149</v>
      </c>
    </row>
    <row r="1046" spans="5:5" x14ac:dyDescent="0.25">
      <c r="E1046" t="s">
        <v>149</v>
      </c>
    </row>
    <row r="1047" spans="5:5" x14ac:dyDescent="0.25">
      <c r="E1047" t="s">
        <v>149</v>
      </c>
    </row>
    <row r="1048" spans="5:5" x14ac:dyDescent="0.25">
      <c r="E1048" t="s">
        <v>149</v>
      </c>
    </row>
    <row r="1049" spans="5:5" x14ac:dyDescent="0.25">
      <c r="E1049" t="s">
        <v>149</v>
      </c>
    </row>
    <row r="1050" spans="5:5" x14ac:dyDescent="0.25">
      <c r="E1050" t="s">
        <v>149</v>
      </c>
    </row>
    <row r="1051" spans="5:5" x14ac:dyDescent="0.25">
      <c r="E1051" t="s">
        <v>149</v>
      </c>
    </row>
    <row r="1052" spans="5:5" x14ac:dyDescent="0.25">
      <c r="E1052" t="s">
        <v>149</v>
      </c>
    </row>
    <row r="1053" spans="5:5" x14ac:dyDescent="0.25">
      <c r="E1053" t="s">
        <v>149</v>
      </c>
    </row>
    <row r="1054" spans="5:5" x14ac:dyDescent="0.25">
      <c r="E1054" t="s">
        <v>149</v>
      </c>
    </row>
    <row r="1055" spans="5:5" x14ac:dyDescent="0.25">
      <c r="E1055" t="s">
        <v>149</v>
      </c>
    </row>
    <row r="1056" spans="5:5" x14ac:dyDescent="0.25">
      <c r="E1056" t="s">
        <v>149</v>
      </c>
    </row>
    <row r="1057" spans="5:5" x14ac:dyDescent="0.25">
      <c r="E1057" t="s">
        <v>149</v>
      </c>
    </row>
    <row r="1058" spans="5:5" x14ac:dyDescent="0.25">
      <c r="E1058" t="s">
        <v>149</v>
      </c>
    </row>
    <row r="1059" spans="5:5" x14ac:dyDescent="0.25">
      <c r="E1059" t="s">
        <v>149</v>
      </c>
    </row>
    <row r="1060" spans="5:5" x14ac:dyDescent="0.25">
      <c r="E1060" t="s">
        <v>149</v>
      </c>
    </row>
    <row r="1061" spans="5:5" x14ac:dyDescent="0.25">
      <c r="E1061" t="s">
        <v>149</v>
      </c>
    </row>
    <row r="1062" spans="5:5" x14ac:dyDescent="0.25">
      <c r="E1062" t="s">
        <v>149</v>
      </c>
    </row>
    <row r="1063" spans="5:5" x14ac:dyDescent="0.25">
      <c r="E1063" t="s">
        <v>149</v>
      </c>
    </row>
    <row r="1064" spans="5:5" x14ac:dyDescent="0.25">
      <c r="E1064" t="s">
        <v>149</v>
      </c>
    </row>
    <row r="1065" spans="5:5" x14ac:dyDescent="0.25">
      <c r="E1065" t="s">
        <v>149</v>
      </c>
    </row>
    <row r="1066" spans="5:5" x14ac:dyDescent="0.25">
      <c r="E1066" t="s">
        <v>149</v>
      </c>
    </row>
    <row r="1067" spans="5:5" x14ac:dyDescent="0.25">
      <c r="E1067" t="s">
        <v>149</v>
      </c>
    </row>
    <row r="1068" spans="5:5" x14ac:dyDescent="0.25">
      <c r="E1068" t="s">
        <v>149</v>
      </c>
    </row>
    <row r="1069" spans="5:5" x14ac:dyDescent="0.25">
      <c r="E1069" t="s">
        <v>149</v>
      </c>
    </row>
    <row r="1070" spans="5:5" x14ac:dyDescent="0.25">
      <c r="E1070" t="s">
        <v>149</v>
      </c>
    </row>
    <row r="1071" spans="5:5" x14ac:dyDescent="0.25">
      <c r="E1071" t="s">
        <v>149</v>
      </c>
    </row>
    <row r="1072" spans="5:5" x14ac:dyDescent="0.25">
      <c r="E1072" t="s">
        <v>149</v>
      </c>
    </row>
    <row r="1073" spans="5:5" x14ac:dyDescent="0.25">
      <c r="E1073" t="s">
        <v>149</v>
      </c>
    </row>
    <row r="1074" spans="5:5" x14ac:dyDescent="0.25">
      <c r="E1074" t="s">
        <v>149</v>
      </c>
    </row>
    <row r="1075" spans="5:5" x14ac:dyDescent="0.25">
      <c r="E1075" t="s">
        <v>149</v>
      </c>
    </row>
    <row r="1076" spans="5:5" x14ac:dyDescent="0.25">
      <c r="E1076" t="s">
        <v>149</v>
      </c>
    </row>
    <row r="1077" spans="5:5" x14ac:dyDescent="0.25">
      <c r="E1077" t="s">
        <v>149</v>
      </c>
    </row>
    <row r="1078" spans="5:5" x14ac:dyDescent="0.25">
      <c r="E1078" t="s">
        <v>149</v>
      </c>
    </row>
    <row r="1079" spans="5:5" x14ac:dyDescent="0.25">
      <c r="E1079" t="s">
        <v>149</v>
      </c>
    </row>
    <row r="1080" spans="5:5" x14ac:dyDescent="0.25">
      <c r="E1080" t="s">
        <v>149</v>
      </c>
    </row>
    <row r="1081" spans="5:5" x14ac:dyDescent="0.25">
      <c r="E1081" t="s">
        <v>149</v>
      </c>
    </row>
    <row r="1082" spans="5:5" x14ac:dyDescent="0.25">
      <c r="E1082" t="s">
        <v>149</v>
      </c>
    </row>
    <row r="1083" spans="5:5" x14ac:dyDescent="0.25">
      <c r="E1083" t="s">
        <v>149</v>
      </c>
    </row>
    <row r="1084" spans="5:5" x14ac:dyDescent="0.25">
      <c r="E1084" t="s">
        <v>149</v>
      </c>
    </row>
    <row r="1085" spans="5:5" x14ac:dyDescent="0.25">
      <c r="E1085" t="s">
        <v>149</v>
      </c>
    </row>
    <row r="1086" spans="5:5" x14ac:dyDescent="0.25">
      <c r="E1086" t="s">
        <v>149</v>
      </c>
    </row>
    <row r="1087" spans="5:5" x14ac:dyDescent="0.25">
      <c r="E1087" t="s">
        <v>149</v>
      </c>
    </row>
    <row r="1088" spans="5:5" x14ac:dyDescent="0.25">
      <c r="E1088" t="s">
        <v>149</v>
      </c>
    </row>
    <row r="1089" spans="5:5" x14ac:dyDescent="0.25">
      <c r="E1089" t="s">
        <v>149</v>
      </c>
    </row>
    <row r="1090" spans="5:5" x14ac:dyDescent="0.25">
      <c r="E1090" t="s">
        <v>149</v>
      </c>
    </row>
    <row r="1091" spans="5:5" x14ac:dyDescent="0.25">
      <c r="E1091" t="s">
        <v>149</v>
      </c>
    </row>
    <row r="1092" spans="5:5" x14ac:dyDescent="0.25">
      <c r="E1092" t="s">
        <v>149</v>
      </c>
    </row>
    <row r="1093" spans="5:5" x14ac:dyDescent="0.25">
      <c r="E1093" t="s">
        <v>149</v>
      </c>
    </row>
    <row r="1094" spans="5:5" x14ac:dyDescent="0.25">
      <c r="E1094" t="s">
        <v>149</v>
      </c>
    </row>
    <row r="1095" spans="5:5" x14ac:dyDescent="0.25">
      <c r="E1095" t="s">
        <v>149</v>
      </c>
    </row>
    <row r="1096" spans="5:5" x14ac:dyDescent="0.25">
      <c r="E1096" t="s">
        <v>149</v>
      </c>
    </row>
    <row r="1097" spans="5:5" x14ac:dyDescent="0.25">
      <c r="E1097" t="s">
        <v>149</v>
      </c>
    </row>
    <row r="1098" spans="5:5" x14ac:dyDescent="0.25">
      <c r="E1098" t="s">
        <v>149</v>
      </c>
    </row>
    <row r="1099" spans="5:5" x14ac:dyDescent="0.25">
      <c r="E1099" t="s">
        <v>149</v>
      </c>
    </row>
    <row r="1100" spans="5:5" x14ac:dyDescent="0.25">
      <c r="E1100" t="s">
        <v>149</v>
      </c>
    </row>
    <row r="1101" spans="5:5" x14ac:dyDescent="0.25">
      <c r="E1101" t="s">
        <v>149</v>
      </c>
    </row>
    <row r="1102" spans="5:5" x14ac:dyDescent="0.25">
      <c r="E1102" t="s">
        <v>149</v>
      </c>
    </row>
    <row r="1103" spans="5:5" x14ac:dyDescent="0.25">
      <c r="E1103" t="s">
        <v>149</v>
      </c>
    </row>
    <row r="1104" spans="5:5" x14ac:dyDescent="0.25">
      <c r="E1104" t="s">
        <v>149</v>
      </c>
    </row>
    <row r="1105" spans="5:5" x14ac:dyDescent="0.25">
      <c r="E1105" t="s">
        <v>149</v>
      </c>
    </row>
    <row r="1106" spans="5:5" x14ac:dyDescent="0.25">
      <c r="E1106" t="s">
        <v>149</v>
      </c>
    </row>
    <row r="1107" spans="5:5" x14ac:dyDescent="0.25">
      <c r="E1107" t="s">
        <v>149</v>
      </c>
    </row>
    <row r="1108" spans="5:5" x14ac:dyDescent="0.25">
      <c r="E1108" t="s">
        <v>149</v>
      </c>
    </row>
    <row r="1109" spans="5:5" x14ac:dyDescent="0.25">
      <c r="E1109" t="s">
        <v>149</v>
      </c>
    </row>
    <row r="1110" spans="5:5" x14ac:dyDescent="0.25">
      <c r="E1110" t="s">
        <v>149</v>
      </c>
    </row>
    <row r="1111" spans="5:5" x14ac:dyDescent="0.25">
      <c r="E1111" t="s">
        <v>149</v>
      </c>
    </row>
    <row r="1112" spans="5:5" x14ac:dyDescent="0.25">
      <c r="E1112" t="s">
        <v>149</v>
      </c>
    </row>
    <row r="1113" spans="5:5" x14ac:dyDescent="0.25">
      <c r="E1113" t="s">
        <v>149</v>
      </c>
    </row>
    <row r="1114" spans="5:5" x14ac:dyDescent="0.25">
      <c r="E1114" t="s">
        <v>149</v>
      </c>
    </row>
    <row r="1115" spans="5:5" x14ac:dyDescent="0.25">
      <c r="E1115" t="s">
        <v>149</v>
      </c>
    </row>
    <row r="1116" spans="5:5" x14ac:dyDescent="0.25">
      <c r="E1116" t="s">
        <v>149</v>
      </c>
    </row>
    <row r="1117" spans="5:5" x14ac:dyDescent="0.25">
      <c r="E1117" t="s">
        <v>149</v>
      </c>
    </row>
    <row r="1118" spans="5:5" x14ac:dyDescent="0.25">
      <c r="E1118" t="s">
        <v>149</v>
      </c>
    </row>
    <row r="1119" spans="5:5" x14ac:dyDescent="0.25">
      <c r="E1119" t="s">
        <v>149</v>
      </c>
    </row>
    <row r="1120" spans="5:5" x14ac:dyDescent="0.25">
      <c r="E1120" t="s">
        <v>149</v>
      </c>
    </row>
    <row r="1121" spans="5:5" x14ac:dyDescent="0.25">
      <c r="E1121" t="s">
        <v>149</v>
      </c>
    </row>
    <row r="1122" spans="5:5" x14ac:dyDescent="0.25">
      <c r="E1122" t="s">
        <v>149</v>
      </c>
    </row>
    <row r="1123" spans="5:5" x14ac:dyDescent="0.25">
      <c r="E1123" t="s">
        <v>149</v>
      </c>
    </row>
    <row r="1124" spans="5:5" x14ac:dyDescent="0.25">
      <c r="E1124" t="s">
        <v>149</v>
      </c>
    </row>
    <row r="1125" spans="5:5" x14ac:dyDescent="0.25">
      <c r="E1125" t="s">
        <v>149</v>
      </c>
    </row>
    <row r="1126" spans="5:5" x14ac:dyDescent="0.25">
      <c r="E1126" t="s">
        <v>149</v>
      </c>
    </row>
    <row r="1127" spans="5:5" x14ac:dyDescent="0.25">
      <c r="E1127" t="s">
        <v>149</v>
      </c>
    </row>
    <row r="1128" spans="5:5" x14ac:dyDescent="0.25">
      <c r="E1128" t="s">
        <v>149</v>
      </c>
    </row>
    <row r="1129" spans="5:5" x14ac:dyDescent="0.25">
      <c r="E1129" t="s">
        <v>149</v>
      </c>
    </row>
    <row r="1130" spans="5:5" x14ac:dyDescent="0.25">
      <c r="E1130" t="s">
        <v>149</v>
      </c>
    </row>
    <row r="1131" spans="5:5" x14ac:dyDescent="0.25">
      <c r="E1131" t="s">
        <v>149</v>
      </c>
    </row>
    <row r="1132" spans="5:5" x14ac:dyDescent="0.25">
      <c r="E1132" t="s">
        <v>149</v>
      </c>
    </row>
    <row r="1133" spans="5:5" x14ac:dyDescent="0.25">
      <c r="E1133" t="s">
        <v>149</v>
      </c>
    </row>
    <row r="1134" spans="5:5" x14ac:dyDescent="0.25">
      <c r="E1134" t="s">
        <v>149</v>
      </c>
    </row>
    <row r="1135" spans="5:5" x14ac:dyDescent="0.25">
      <c r="E1135" t="s">
        <v>149</v>
      </c>
    </row>
    <row r="1136" spans="5:5" x14ac:dyDescent="0.25">
      <c r="E1136" t="s">
        <v>149</v>
      </c>
    </row>
    <row r="1137" spans="5:5" x14ac:dyDescent="0.25">
      <c r="E1137" t="s">
        <v>149</v>
      </c>
    </row>
    <row r="1138" spans="5:5" x14ac:dyDescent="0.25">
      <c r="E1138" t="s">
        <v>149</v>
      </c>
    </row>
    <row r="1139" spans="5:5" x14ac:dyDescent="0.25">
      <c r="E1139" t="s">
        <v>149</v>
      </c>
    </row>
    <row r="1140" spans="5:5" x14ac:dyDescent="0.25">
      <c r="E1140" t="s">
        <v>149</v>
      </c>
    </row>
    <row r="1141" spans="5:5" x14ac:dyDescent="0.25">
      <c r="E1141" t="s">
        <v>149</v>
      </c>
    </row>
    <row r="1142" spans="5:5" x14ac:dyDescent="0.25">
      <c r="E1142" t="s">
        <v>149</v>
      </c>
    </row>
    <row r="1143" spans="5:5" x14ac:dyDescent="0.25">
      <c r="E1143" t="s">
        <v>149</v>
      </c>
    </row>
    <row r="1144" spans="5:5" x14ac:dyDescent="0.25">
      <c r="E1144" t="s">
        <v>149</v>
      </c>
    </row>
    <row r="1145" spans="5:5" x14ac:dyDescent="0.25">
      <c r="E1145" t="s">
        <v>149</v>
      </c>
    </row>
    <row r="1146" spans="5:5" x14ac:dyDescent="0.25">
      <c r="E1146" t="s">
        <v>149</v>
      </c>
    </row>
    <row r="1147" spans="5:5" x14ac:dyDescent="0.25">
      <c r="E1147" t="s">
        <v>149</v>
      </c>
    </row>
    <row r="1148" spans="5:5" x14ac:dyDescent="0.25">
      <c r="E1148" t="s">
        <v>149</v>
      </c>
    </row>
    <row r="1149" spans="5:5" x14ac:dyDescent="0.25">
      <c r="E1149" t="s">
        <v>149</v>
      </c>
    </row>
    <row r="1150" spans="5:5" x14ac:dyDescent="0.25">
      <c r="E1150" t="s">
        <v>149</v>
      </c>
    </row>
    <row r="1151" spans="5:5" x14ac:dyDescent="0.25">
      <c r="E1151" t="s">
        <v>149</v>
      </c>
    </row>
    <row r="1152" spans="5:5" x14ac:dyDescent="0.25">
      <c r="E1152" t="s">
        <v>149</v>
      </c>
    </row>
    <row r="1153" spans="5:5" x14ac:dyDescent="0.25">
      <c r="E1153" t="s">
        <v>149</v>
      </c>
    </row>
    <row r="1154" spans="5:5" x14ac:dyDescent="0.25">
      <c r="E1154" t="s">
        <v>149</v>
      </c>
    </row>
    <row r="1155" spans="5:5" x14ac:dyDescent="0.25">
      <c r="E1155" t="s">
        <v>149</v>
      </c>
    </row>
    <row r="1156" spans="5:5" x14ac:dyDescent="0.25">
      <c r="E1156" t="s">
        <v>149</v>
      </c>
    </row>
    <row r="1157" spans="5:5" x14ac:dyDescent="0.25">
      <c r="E1157" t="s">
        <v>149</v>
      </c>
    </row>
    <row r="1158" spans="5:5" x14ac:dyDescent="0.25">
      <c r="E1158" t="s">
        <v>149</v>
      </c>
    </row>
    <row r="1159" spans="5:5" x14ac:dyDescent="0.25">
      <c r="E1159" t="s">
        <v>149</v>
      </c>
    </row>
    <row r="1160" spans="5:5" x14ac:dyDescent="0.25">
      <c r="E1160" t="s">
        <v>149</v>
      </c>
    </row>
    <row r="1161" spans="5:5" x14ac:dyDescent="0.25">
      <c r="E1161" t="s">
        <v>149</v>
      </c>
    </row>
    <row r="1162" spans="5:5" x14ac:dyDescent="0.25">
      <c r="E1162" t="s">
        <v>149</v>
      </c>
    </row>
    <row r="1163" spans="5:5" x14ac:dyDescent="0.25">
      <c r="E1163" t="s">
        <v>149</v>
      </c>
    </row>
    <row r="1164" spans="5:5" x14ac:dyDescent="0.25">
      <c r="E1164" t="s">
        <v>149</v>
      </c>
    </row>
    <row r="1165" spans="5:5" x14ac:dyDescent="0.25">
      <c r="E1165" t="s">
        <v>149</v>
      </c>
    </row>
    <row r="1166" spans="5:5" x14ac:dyDescent="0.25">
      <c r="E1166" t="s">
        <v>149</v>
      </c>
    </row>
    <row r="1167" spans="5:5" x14ac:dyDescent="0.25">
      <c r="E1167" t="s">
        <v>149</v>
      </c>
    </row>
    <row r="1168" spans="5:5" x14ac:dyDescent="0.25">
      <c r="E1168" t="s">
        <v>149</v>
      </c>
    </row>
    <row r="1169" spans="5:5" x14ac:dyDescent="0.25">
      <c r="E1169" t="s">
        <v>149</v>
      </c>
    </row>
    <row r="1170" spans="5:5" x14ac:dyDescent="0.25">
      <c r="E1170" t="s">
        <v>149</v>
      </c>
    </row>
    <row r="1171" spans="5:5" x14ac:dyDescent="0.25">
      <c r="E1171" t="s">
        <v>149</v>
      </c>
    </row>
    <row r="1172" spans="5:5" x14ac:dyDescent="0.25">
      <c r="E1172" t="s">
        <v>149</v>
      </c>
    </row>
    <row r="1173" spans="5:5" x14ac:dyDescent="0.25">
      <c r="E1173" t="s">
        <v>149</v>
      </c>
    </row>
    <row r="1174" spans="5:5" x14ac:dyDescent="0.25">
      <c r="E1174" t="s">
        <v>149</v>
      </c>
    </row>
    <row r="1175" spans="5:5" x14ac:dyDescent="0.25">
      <c r="E1175" t="s">
        <v>149</v>
      </c>
    </row>
    <row r="1176" spans="5:5" x14ac:dyDescent="0.25">
      <c r="E1176" t="s">
        <v>149</v>
      </c>
    </row>
    <row r="1177" spans="5:5" x14ac:dyDescent="0.25">
      <c r="E1177" t="s">
        <v>149</v>
      </c>
    </row>
    <row r="1178" spans="5:5" x14ac:dyDescent="0.25">
      <c r="E1178" t="s">
        <v>149</v>
      </c>
    </row>
    <row r="1179" spans="5:5" x14ac:dyDescent="0.25">
      <c r="E1179" t="s">
        <v>149</v>
      </c>
    </row>
    <row r="1180" spans="5:5" x14ac:dyDescent="0.25">
      <c r="E1180" t="s">
        <v>149</v>
      </c>
    </row>
    <row r="1181" spans="5:5" x14ac:dyDescent="0.25">
      <c r="E1181" t="s">
        <v>149</v>
      </c>
    </row>
    <row r="1182" spans="5:5" x14ac:dyDescent="0.25">
      <c r="E1182" t="s">
        <v>149</v>
      </c>
    </row>
    <row r="1183" spans="5:5" x14ac:dyDescent="0.25">
      <c r="E1183" t="s">
        <v>149</v>
      </c>
    </row>
    <row r="1184" spans="5:5" x14ac:dyDescent="0.25">
      <c r="E1184" t="s">
        <v>149</v>
      </c>
    </row>
    <row r="1185" spans="5:5" x14ac:dyDescent="0.25">
      <c r="E1185" t="s">
        <v>149</v>
      </c>
    </row>
    <row r="1186" spans="5:5" x14ac:dyDescent="0.25">
      <c r="E1186" t="s">
        <v>149</v>
      </c>
    </row>
    <row r="1187" spans="5:5" x14ac:dyDescent="0.25">
      <c r="E1187" t="s">
        <v>149</v>
      </c>
    </row>
    <row r="1188" spans="5:5" x14ac:dyDescent="0.25">
      <c r="E1188" t="s">
        <v>149</v>
      </c>
    </row>
    <row r="1189" spans="5:5" x14ac:dyDescent="0.25">
      <c r="E1189" t="s">
        <v>149</v>
      </c>
    </row>
    <row r="1190" spans="5:5" x14ac:dyDescent="0.25">
      <c r="E1190" t="s">
        <v>149</v>
      </c>
    </row>
    <row r="1191" spans="5:5" x14ac:dyDescent="0.25">
      <c r="E1191" t="s">
        <v>149</v>
      </c>
    </row>
    <row r="1192" spans="5:5" x14ac:dyDescent="0.25">
      <c r="E1192" t="s">
        <v>149</v>
      </c>
    </row>
    <row r="1193" spans="5:5" x14ac:dyDescent="0.25">
      <c r="E1193" t="s">
        <v>149</v>
      </c>
    </row>
    <row r="1194" spans="5:5" x14ac:dyDescent="0.25">
      <c r="E1194" t="s">
        <v>149</v>
      </c>
    </row>
    <row r="1195" spans="5:5" x14ac:dyDescent="0.25">
      <c r="E1195" t="s">
        <v>149</v>
      </c>
    </row>
    <row r="1196" spans="5:5" x14ac:dyDescent="0.25">
      <c r="E1196" t="s">
        <v>149</v>
      </c>
    </row>
    <row r="1197" spans="5:5" x14ac:dyDescent="0.25">
      <c r="E1197" t="s">
        <v>149</v>
      </c>
    </row>
    <row r="1198" spans="5:5" x14ac:dyDescent="0.25">
      <c r="E1198" t="s">
        <v>149</v>
      </c>
    </row>
    <row r="1199" spans="5:5" x14ac:dyDescent="0.25">
      <c r="E1199" t="s">
        <v>149</v>
      </c>
    </row>
    <row r="1200" spans="5:5" x14ac:dyDescent="0.25">
      <c r="E1200" t="s">
        <v>149</v>
      </c>
    </row>
    <row r="1201" spans="5:5" x14ac:dyDescent="0.25">
      <c r="E1201" t="s">
        <v>149</v>
      </c>
    </row>
    <row r="1202" spans="5:5" x14ac:dyDescent="0.25">
      <c r="E1202" t="s">
        <v>149</v>
      </c>
    </row>
    <row r="1203" spans="5:5" x14ac:dyDescent="0.25">
      <c r="E1203" t="s">
        <v>149</v>
      </c>
    </row>
    <row r="1204" spans="5:5" x14ac:dyDescent="0.25">
      <c r="E1204" t="s">
        <v>149</v>
      </c>
    </row>
    <row r="1205" spans="5:5" x14ac:dyDescent="0.25">
      <c r="E1205" t="s">
        <v>149</v>
      </c>
    </row>
    <row r="1206" spans="5:5" x14ac:dyDescent="0.25">
      <c r="E1206" t="s">
        <v>149</v>
      </c>
    </row>
    <row r="1207" spans="5:5" x14ac:dyDescent="0.25">
      <c r="E1207" t="s">
        <v>149</v>
      </c>
    </row>
    <row r="1208" spans="5:5" x14ac:dyDescent="0.25">
      <c r="E1208" t="s">
        <v>149</v>
      </c>
    </row>
    <row r="1209" spans="5:5" x14ac:dyDescent="0.25">
      <c r="E1209" t="s">
        <v>149</v>
      </c>
    </row>
    <row r="1210" spans="5:5" x14ac:dyDescent="0.25">
      <c r="E1210" t="s">
        <v>149</v>
      </c>
    </row>
    <row r="1211" spans="5:5" x14ac:dyDescent="0.25">
      <c r="E1211" t="s">
        <v>149</v>
      </c>
    </row>
    <row r="1212" spans="5:5" x14ac:dyDescent="0.25">
      <c r="E1212" t="s">
        <v>149</v>
      </c>
    </row>
    <row r="1213" spans="5:5" x14ac:dyDescent="0.25">
      <c r="E1213" t="s">
        <v>149</v>
      </c>
    </row>
    <row r="1214" spans="5:5" x14ac:dyDescent="0.25">
      <c r="E1214" t="s">
        <v>149</v>
      </c>
    </row>
    <row r="1215" spans="5:5" x14ac:dyDescent="0.25">
      <c r="E1215" t="s">
        <v>149</v>
      </c>
    </row>
    <row r="1216" spans="5:5" x14ac:dyDescent="0.25">
      <c r="E1216" t="s">
        <v>149</v>
      </c>
    </row>
    <row r="1217" spans="5:5" x14ac:dyDescent="0.25">
      <c r="E1217" t="s">
        <v>149</v>
      </c>
    </row>
    <row r="1218" spans="5:5" x14ac:dyDescent="0.25">
      <c r="E1218" t="s">
        <v>149</v>
      </c>
    </row>
    <row r="1219" spans="5:5" x14ac:dyDescent="0.25">
      <c r="E1219" t="s">
        <v>149</v>
      </c>
    </row>
    <row r="1220" spans="5:5" x14ac:dyDescent="0.25">
      <c r="E1220" t="s">
        <v>149</v>
      </c>
    </row>
    <row r="1221" spans="5:5" x14ac:dyDescent="0.25">
      <c r="E1221" t="s">
        <v>149</v>
      </c>
    </row>
    <row r="1222" spans="5:5" x14ac:dyDescent="0.25">
      <c r="E1222" t="s">
        <v>149</v>
      </c>
    </row>
    <row r="1223" spans="5:5" x14ac:dyDescent="0.25">
      <c r="E1223" t="s">
        <v>149</v>
      </c>
    </row>
    <row r="1224" spans="5:5" x14ac:dyDescent="0.25">
      <c r="E1224" t="s">
        <v>149</v>
      </c>
    </row>
    <row r="1225" spans="5:5" x14ac:dyDescent="0.25">
      <c r="E1225" t="s">
        <v>149</v>
      </c>
    </row>
    <row r="1226" spans="5:5" x14ac:dyDescent="0.25">
      <c r="E1226" t="s">
        <v>149</v>
      </c>
    </row>
    <row r="1227" spans="5:5" x14ac:dyDescent="0.25">
      <c r="E1227" t="s">
        <v>149</v>
      </c>
    </row>
    <row r="1228" spans="5:5" x14ac:dyDescent="0.25">
      <c r="E1228" t="s">
        <v>149</v>
      </c>
    </row>
    <row r="1229" spans="5:5" x14ac:dyDescent="0.25">
      <c r="E1229" t="s">
        <v>149</v>
      </c>
    </row>
    <row r="1230" spans="5:5" x14ac:dyDescent="0.25">
      <c r="E1230" t="s">
        <v>149</v>
      </c>
    </row>
    <row r="1231" spans="5:5" x14ac:dyDescent="0.25">
      <c r="E1231" t="s">
        <v>149</v>
      </c>
    </row>
    <row r="1232" spans="5:5" x14ac:dyDescent="0.25">
      <c r="E1232" t="s">
        <v>149</v>
      </c>
    </row>
    <row r="1233" spans="5:5" x14ac:dyDescent="0.25">
      <c r="E1233" t="s">
        <v>149</v>
      </c>
    </row>
    <row r="1234" spans="5:5" x14ac:dyDescent="0.25">
      <c r="E1234" t="s">
        <v>149</v>
      </c>
    </row>
    <row r="1235" spans="5:5" x14ac:dyDescent="0.25">
      <c r="E1235" t="s">
        <v>149</v>
      </c>
    </row>
    <row r="1236" spans="5:5" x14ac:dyDescent="0.25">
      <c r="E1236" t="s">
        <v>149</v>
      </c>
    </row>
    <row r="1237" spans="5:5" x14ac:dyDescent="0.25">
      <c r="E1237" t="s">
        <v>149</v>
      </c>
    </row>
    <row r="1238" spans="5:5" x14ac:dyDescent="0.25">
      <c r="E1238" t="s">
        <v>149</v>
      </c>
    </row>
    <row r="1239" spans="5:5" x14ac:dyDescent="0.25">
      <c r="E1239" t="s">
        <v>149</v>
      </c>
    </row>
    <row r="1240" spans="5:5" x14ac:dyDescent="0.25">
      <c r="E1240" t="s">
        <v>149</v>
      </c>
    </row>
    <row r="1241" spans="5:5" x14ac:dyDescent="0.25">
      <c r="E1241" t="s">
        <v>149</v>
      </c>
    </row>
    <row r="1242" spans="5:5" x14ac:dyDescent="0.25">
      <c r="E1242" t="s">
        <v>149</v>
      </c>
    </row>
    <row r="1243" spans="5:5" x14ac:dyDescent="0.25">
      <c r="E1243" t="s">
        <v>149</v>
      </c>
    </row>
    <row r="1244" spans="5:5" x14ac:dyDescent="0.25">
      <c r="E1244" t="s">
        <v>149</v>
      </c>
    </row>
    <row r="1245" spans="5:5" x14ac:dyDescent="0.25">
      <c r="E1245" t="s">
        <v>149</v>
      </c>
    </row>
    <row r="1246" spans="5:5" x14ac:dyDescent="0.25">
      <c r="E1246" t="s">
        <v>149</v>
      </c>
    </row>
    <row r="1247" spans="5:5" x14ac:dyDescent="0.25">
      <c r="E1247" t="s">
        <v>149</v>
      </c>
    </row>
    <row r="1248" spans="5:5" x14ac:dyDescent="0.25">
      <c r="E1248" t="s">
        <v>149</v>
      </c>
    </row>
    <row r="1249" spans="5:5" x14ac:dyDescent="0.25">
      <c r="E1249" t="s">
        <v>149</v>
      </c>
    </row>
    <row r="1250" spans="5:5" x14ac:dyDescent="0.25">
      <c r="E1250" t="s">
        <v>149</v>
      </c>
    </row>
    <row r="1251" spans="5:5" x14ac:dyDescent="0.25">
      <c r="E1251" t="s">
        <v>149</v>
      </c>
    </row>
    <row r="1252" spans="5:5" x14ac:dyDescent="0.25">
      <c r="E1252" t="s">
        <v>149</v>
      </c>
    </row>
    <row r="1253" spans="5:5" x14ac:dyDescent="0.25">
      <c r="E1253" t="s">
        <v>149</v>
      </c>
    </row>
    <row r="1254" spans="5:5" x14ac:dyDescent="0.25">
      <c r="E1254" t="s">
        <v>149</v>
      </c>
    </row>
    <row r="1255" spans="5:5" x14ac:dyDescent="0.25">
      <c r="E1255" t="s">
        <v>149</v>
      </c>
    </row>
    <row r="1256" spans="5:5" x14ac:dyDescent="0.25">
      <c r="E1256" t="s">
        <v>149</v>
      </c>
    </row>
    <row r="1257" spans="5:5" x14ac:dyDescent="0.25">
      <c r="E1257" t="s">
        <v>149</v>
      </c>
    </row>
    <row r="1258" spans="5:5" x14ac:dyDescent="0.25">
      <c r="E1258" t="s">
        <v>149</v>
      </c>
    </row>
    <row r="1259" spans="5:5" x14ac:dyDescent="0.25">
      <c r="E1259" t="s">
        <v>149</v>
      </c>
    </row>
    <row r="1260" spans="5:5" x14ac:dyDescent="0.25">
      <c r="E1260" t="s">
        <v>149</v>
      </c>
    </row>
    <row r="1261" spans="5:5" x14ac:dyDescent="0.25">
      <c r="E1261" t="s">
        <v>149</v>
      </c>
    </row>
    <row r="1262" spans="5:5" x14ac:dyDescent="0.25">
      <c r="E1262" t="s">
        <v>149</v>
      </c>
    </row>
    <row r="1263" spans="5:5" x14ac:dyDescent="0.25">
      <c r="E1263" t="s">
        <v>149</v>
      </c>
    </row>
    <row r="1264" spans="5:5" x14ac:dyDescent="0.25">
      <c r="E1264" t="s">
        <v>149</v>
      </c>
    </row>
    <row r="1265" spans="5:5" x14ac:dyDescent="0.25">
      <c r="E1265" t="s">
        <v>149</v>
      </c>
    </row>
    <row r="1266" spans="5:5" x14ac:dyDescent="0.25">
      <c r="E1266" t="s">
        <v>149</v>
      </c>
    </row>
    <row r="1267" spans="5:5" x14ac:dyDescent="0.25">
      <c r="E1267" t="s">
        <v>149</v>
      </c>
    </row>
    <row r="1268" spans="5:5" x14ac:dyDescent="0.25">
      <c r="E1268" t="s">
        <v>149</v>
      </c>
    </row>
    <row r="1269" spans="5:5" x14ac:dyDescent="0.25">
      <c r="E1269" t="s">
        <v>149</v>
      </c>
    </row>
    <row r="1270" spans="5:5" x14ac:dyDescent="0.25">
      <c r="E1270" t="s">
        <v>149</v>
      </c>
    </row>
    <row r="1271" spans="5:5" x14ac:dyDescent="0.25">
      <c r="E1271" t="s">
        <v>149</v>
      </c>
    </row>
    <row r="1272" spans="5:5" x14ac:dyDescent="0.25">
      <c r="E1272" t="s">
        <v>149</v>
      </c>
    </row>
    <row r="1273" spans="5:5" x14ac:dyDescent="0.25">
      <c r="E1273" t="s">
        <v>149</v>
      </c>
    </row>
    <row r="1274" spans="5:5" x14ac:dyDescent="0.25">
      <c r="E1274" t="s">
        <v>149</v>
      </c>
    </row>
    <row r="1275" spans="5:5" x14ac:dyDescent="0.25">
      <c r="E1275" t="s">
        <v>149</v>
      </c>
    </row>
    <row r="1276" spans="5:5" x14ac:dyDescent="0.25">
      <c r="E1276" t="s">
        <v>149</v>
      </c>
    </row>
    <row r="1277" spans="5:5" x14ac:dyDescent="0.25">
      <c r="E1277" t="s">
        <v>149</v>
      </c>
    </row>
    <row r="1278" spans="5:5" x14ac:dyDescent="0.25">
      <c r="E1278" t="s">
        <v>149</v>
      </c>
    </row>
    <row r="1279" spans="5:5" x14ac:dyDescent="0.25">
      <c r="E1279" t="s">
        <v>149</v>
      </c>
    </row>
    <row r="1280" spans="5:5" x14ac:dyDescent="0.25">
      <c r="E1280" t="s">
        <v>149</v>
      </c>
    </row>
    <row r="1281" spans="5:5" x14ac:dyDescent="0.25">
      <c r="E1281" t="s">
        <v>149</v>
      </c>
    </row>
    <row r="1282" spans="5:5" x14ac:dyDescent="0.25">
      <c r="E1282" t="s">
        <v>149</v>
      </c>
    </row>
    <row r="1283" spans="5:5" x14ac:dyDescent="0.25">
      <c r="E1283" t="s">
        <v>149</v>
      </c>
    </row>
    <row r="1284" spans="5:5" x14ac:dyDescent="0.25">
      <c r="E1284" t="s">
        <v>149</v>
      </c>
    </row>
    <row r="1285" spans="5:5" x14ac:dyDescent="0.25">
      <c r="E1285" t="s">
        <v>149</v>
      </c>
    </row>
    <row r="1286" spans="5:5" x14ac:dyDescent="0.25">
      <c r="E1286" t="s">
        <v>149</v>
      </c>
    </row>
    <row r="1287" spans="5:5" x14ac:dyDescent="0.25">
      <c r="E1287" t="s">
        <v>149</v>
      </c>
    </row>
    <row r="1288" spans="5:5" x14ac:dyDescent="0.25">
      <c r="E1288" t="s">
        <v>149</v>
      </c>
    </row>
    <row r="1289" spans="5:5" x14ac:dyDescent="0.25">
      <c r="E1289" t="s">
        <v>149</v>
      </c>
    </row>
    <row r="1290" spans="5:5" x14ac:dyDescent="0.25">
      <c r="E1290" t="s">
        <v>149</v>
      </c>
    </row>
    <row r="1291" spans="5:5" x14ac:dyDescent="0.25">
      <c r="E1291" t="s">
        <v>149</v>
      </c>
    </row>
    <row r="1292" spans="5:5" x14ac:dyDescent="0.25">
      <c r="E1292" t="s">
        <v>149</v>
      </c>
    </row>
    <row r="1293" spans="5:5" x14ac:dyDescent="0.25">
      <c r="E1293" t="s">
        <v>149</v>
      </c>
    </row>
    <row r="1294" spans="5:5" x14ac:dyDescent="0.25">
      <c r="E1294" t="s">
        <v>149</v>
      </c>
    </row>
    <row r="1295" spans="5:5" x14ac:dyDescent="0.25">
      <c r="E1295" t="s">
        <v>149</v>
      </c>
    </row>
    <row r="1296" spans="5:5" x14ac:dyDescent="0.25">
      <c r="E1296" t="s">
        <v>149</v>
      </c>
    </row>
    <row r="1297" spans="5:5" x14ac:dyDescent="0.25">
      <c r="E1297" t="s">
        <v>149</v>
      </c>
    </row>
    <row r="1298" spans="5:5" x14ac:dyDescent="0.25">
      <c r="E1298" t="s">
        <v>149</v>
      </c>
    </row>
    <row r="1299" spans="5:5" x14ac:dyDescent="0.25">
      <c r="E1299" t="s">
        <v>149</v>
      </c>
    </row>
    <row r="1300" spans="5:5" x14ac:dyDescent="0.25">
      <c r="E1300" t="s">
        <v>149</v>
      </c>
    </row>
    <row r="1301" spans="5:5" x14ac:dyDescent="0.25">
      <c r="E1301" t="s">
        <v>149</v>
      </c>
    </row>
    <row r="1302" spans="5:5" x14ac:dyDescent="0.25">
      <c r="E1302" t="s">
        <v>149</v>
      </c>
    </row>
    <row r="1303" spans="5:5" x14ac:dyDescent="0.25">
      <c r="E1303" t="s">
        <v>149</v>
      </c>
    </row>
    <row r="1304" spans="5:5" x14ac:dyDescent="0.25">
      <c r="E1304" t="s">
        <v>149</v>
      </c>
    </row>
    <row r="1305" spans="5:5" x14ac:dyDescent="0.25">
      <c r="E1305" t="s">
        <v>149</v>
      </c>
    </row>
    <row r="1306" spans="5:5" x14ac:dyDescent="0.25">
      <c r="E1306" t="s">
        <v>149</v>
      </c>
    </row>
    <row r="1307" spans="5:5" x14ac:dyDescent="0.25">
      <c r="E1307" t="s">
        <v>149</v>
      </c>
    </row>
    <row r="1308" spans="5:5" x14ac:dyDescent="0.25">
      <c r="E1308" t="s">
        <v>149</v>
      </c>
    </row>
    <row r="1309" spans="5:5" x14ac:dyDescent="0.25">
      <c r="E1309" t="s">
        <v>149</v>
      </c>
    </row>
    <row r="1310" spans="5:5" x14ac:dyDescent="0.25">
      <c r="E1310" t="s">
        <v>149</v>
      </c>
    </row>
    <row r="1311" spans="5:5" x14ac:dyDescent="0.25">
      <c r="E1311" t="s">
        <v>149</v>
      </c>
    </row>
    <row r="1312" spans="5:5" x14ac:dyDescent="0.25">
      <c r="E1312" t="s">
        <v>149</v>
      </c>
    </row>
    <row r="1313" spans="5:5" x14ac:dyDescent="0.25">
      <c r="E1313" t="s">
        <v>149</v>
      </c>
    </row>
    <row r="1314" spans="5:5" x14ac:dyDescent="0.25">
      <c r="E1314" t="s">
        <v>149</v>
      </c>
    </row>
    <row r="1315" spans="5:5" x14ac:dyDescent="0.25">
      <c r="E1315" t="s">
        <v>149</v>
      </c>
    </row>
    <row r="1316" spans="5:5" x14ac:dyDescent="0.25">
      <c r="E1316" t="s">
        <v>149</v>
      </c>
    </row>
    <row r="1317" spans="5:5" x14ac:dyDescent="0.25">
      <c r="E1317" t="s">
        <v>149</v>
      </c>
    </row>
    <row r="1318" spans="5:5" x14ac:dyDescent="0.25">
      <c r="E1318" t="s">
        <v>149</v>
      </c>
    </row>
    <row r="1319" spans="5:5" x14ac:dyDescent="0.25">
      <c r="E1319" t="s">
        <v>149</v>
      </c>
    </row>
    <row r="1320" spans="5:5" x14ac:dyDescent="0.25">
      <c r="E1320" t="s">
        <v>149</v>
      </c>
    </row>
    <row r="1321" spans="5:5" x14ac:dyDescent="0.25">
      <c r="E1321" t="s">
        <v>149</v>
      </c>
    </row>
    <row r="1322" spans="5:5" x14ac:dyDescent="0.25">
      <c r="E1322" t="s">
        <v>149</v>
      </c>
    </row>
    <row r="1323" spans="5:5" x14ac:dyDescent="0.25">
      <c r="E1323" t="s">
        <v>149</v>
      </c>
    </row>
    <row r="1324" spans="5:5" x14ac:dyDescent="0.25">
      <c r="E1324" t="s">
        <v>149</v>
      </c>
    </row>
    <row r="1325" spans="5:5" x14ac:dyDescent="0.25">
      <c r="E1325" t="s">
        <v>149</v>
      </c>
    </row>
    <row r="1326" spans="5:5" x14ac:dyDescent="0.25">
      <c r="E1326" t="s">
        <v>149</v>
      </c>
    </row>
    <row r="1327" spans="5:5" x14ac:dyDescent="0.25">
      <c r="E1327" t="s">
        <v>149</v>
      </c>
    </row>
    <row r="1328" spans="5:5" x14ac:dyDescent="0.25">
      <c r="E1328" t="s">
        <v>149</v>
      </c>
    </row>
    <row r="1329" spans="5:5" x14ac:dyDescent="0.25">
      <c r="E1329" t="s">
        <v>149</v>
      </c>
    </row>
    <row r="1330" spans="5:5" x14ac:dyDescent="0.25">
      <c r="E1330" t="s">
        <v>149</v>
      </c>
    </row>
    <row r="1331" spans="5:5" x14ac:dyDescent="0.25">
      <c r="E1331" t="s">
        <v>149</v>
      </c>
    </row>
    <row r="1332" spans="5:5" x14ac:dyDescent="0.25">
      <c r="E1332" t="s">
        <v>149</v>
      </c>
    </row>
    <row r="1333" spans="5:5" x14ac:dyDescent="0.25">
      <c r="E1333" t="s">
        <v>149</v>
      </c>
    </row>
    <row r="1334" spans="5:5" x14ac:dyDescent="0.25">
      <c r="E1334" t="s">
        <v>149</v>
      </c>
    </row>
    <row r="1335" spans="5:5" x14ac:dyDescent="0.25">
      <c r="E1335" t="s">
        <v>149</v>
      </c>
    </row>
    <row r="1336" spans="5:5" x14ac:dyDescent="0.25">
      <c r="E1336" t="s">
        <v>149</v>
      </c>
    </row>
    <row r="1337" spans="5:5" x14ac:dyDescent="0.25">
      <c r="E1337" t="s">
        <v>149</v>
      </c>
    </row>
    <row r="1338" spans="5:5" x14ac:dyDescent="0.25">
      <c r="E1338" t="s">
        <v>149</v>
      </c>
    </row>
    <row r="1339" spans="5:5" x14ac:dyDescent="0.25">
      <c r="E1339" t="s">
        <v>149</v>
      </c>
    </row>
    <row r="1340" spans="5:5" x14ac:dyDescent="0.25">
      <c r="E1340" t="s">
        <v>149</v>
      </c>
    </row>
    <row r="1341" spans="5:5" x14ac:dyDescent="0.25">
      <c r="E1341" t="s">
        <v>149</v>
      </c>
    </row>
    <row r="1342" spans="5:5" x14ac:dyDescent="0.25">
      <c r="E1342" t="s">
        <v>149</v>
      </c>
    </row>
    <row r="1343" spans="5:5" x14ac:dyDescent="0.25">
      <c r="E1343" t="s">
        <v>149</v>
      </c>
    </row>
    <row r="1344" spans="5:5" x14ac:dyDescent="0.25">
      <c r="E1344" t="s">
        <v>149</v>
      </c>
    </row>
    <row r="1345" spans="5:5" x14ac:dyDescent="0.25">
      <c r="E1345" t="s">
        <v>149</v>
      </c>
    </row>
    <row r="1346" spans="5:5" x14ac:dyDescent="0.25">
      <c r="E1346" t="s">
        <v>149</v>
      </c>
    </row>
    <row r="1347" spans="5:5" x14ac:dyDescent="0.25">
      <c r="E1347" t="s">
        <v>149</v>
      </c>
    </row>
    <row r="1348" spans="5:5" x14ac:dyDescent="0.25">
      <c r="E1348" t="s">
        <v>149</v>
      </c>
    </row>
    <row r="1349" spans="5:5" x14ac:dyDescent="0.25">
      <c r="E1349" t="s">
        <v>149</v>
      </c>
    </row>
    <row r="1350" spans="5:5" x14ac:dyDescent="0.25">
      <c r="E1350" t="s">
        <v>149</v>
      </c>
    </row>
    <row r="1351" spans="5:5" x14ac:dyDescent="0.25">
      <c r="E1351" t="s">
        <v>149</v>
      </c>
    </row>
    <row r="1352" spans="5:5" x14ac:dyDescent="0.25">
      <c r="E1352" t="s">
        <v>149</v>
      </c>
    </row>
    <row r="1353" spans="5:5" x14ac:dyDescent="0.25">
      <c r="E1353" t="s">
        <v>149</v>
      </c>
    </row>
    <row r="1354" spans="5:5" x14ac:dyDescent="0.25">
      <c r="E1354" t="s">
        <v>149</v>
      </c>
    </row>
    <row r="1355" spans="5:5" x14ac:dyDescent="0.25">
      <c r="E1355" t="s">
        <v>149</v>
      </c>
    </row>
    <row r="1356" spans="5:5" x14ac:dyDescent="0.25">
      <c r="E1356" t="s">
        <v>149</v>
      </c>
    </row>
    <row r="1357" spans="5:5" x14ac:dyDescent="0.25">
      <c r="E1357" t="s">
        <v>149</v>
      </c>
    </row>
    <row r="1358" spans="5:5" x14ac:dyDescent="0.25">
      <c r="E1358" t="s">
        <v>149</v>
      </c>
    </row>
    <row r="1359" spans="5:5" x14ac:dyDescent="0.25">
      <c r="E1359" t="s">
        <v>149</v>
      </c>
    </row>
    <row r="1360" spans="5:5" x14ac:dyDescent="0.25">
      <c r="E1360" t="s">
        <v>149</v>
      </c>
    </row>
    <row r="1361" spans="5:5" x14ac:dyDescent="0.25">
      <c r="E1361" t="s">
        <v>149</v>
      </c>
    </row>
    <row r="1362" spans="5:5" x14ac:dyDescent="0.25">
      <c r="E1362" t="s">
        <v>149</v>
      </c>
    </row>
    <row r="1363" spans="5:5" x14ac:dyDescent="0.25">
      <c r="E1363" t="s">
        <v>149</v>
      </c>
    </row>
    <row r="1364" spans="5:5" x14ac:dyDescent="0.25">
      <c r="E1364" t="s">
        <v>149</v>
      </c>
    </row>
    <row r="1365" spans="5:5" x14ac:dyDescent="0.25">
      <c r="E1365" t="s">
        <v>149</v>
      </c>
    </row>
    <row r="1366" spans="5:5" x14ac:dyDescent="0.25">
      <c r="E1366" t="s">
        <v>149</v>
      </c>
    </row>
    <row r="1367" spans="5:5" x14ac:dyDescent="0.25">
      <c r="E1367" t="s">
        <v>149</v>
      </c>
    </row>
    <row r="1368" spans="5:5" x14ac:dyDescent="0.25">
      <c r="E1368" t="s">
        <v>149</v>
      </c>
    </row>
    <row r="1369" spans="5:5" x14ac:dyDescent="0.25">
      <c r="E1369" t="s">
        <v>149</v>
      </c>
    </row>
    <row r="1370" spans="5:5" x14ac:dyDescent="0.25">
      <c r="E1370" t="s">
        <v>149</v>
      </c>
    </row>
    <row r="1371" spans="5:5" x14ac:dyDescent="0.25">
      <c r="E1371" t="s">
        <v>149</v>
      </c>
    </row>
    <row r="1372" spans="5:5" x14ac:dyDescent="0.25">
      <c r="E1372" t="s">
        <v>149</v>
      </c>
    </row>
    <row r="1373" spans="5:5" x14ac:dyDescent="0.25">
      <c r="E1373" t="s">
        <v>149</v>
      </c>
    </row>
    <row r="1374" spans="5:5" x14ac:dyDescent="0.25">
      <c r="E1374" t="s">
        <v>149</v>
      </c>
    </row>
    <row r="1375" spans="5:5" x14ac:dyDescent="0.25">
      <c r="E1375" t="s">
        <v>149</v>
      </c>
    </row>
    <row r="1376" spans="5:5" x14ac:dyDescent="0.25">
      <c r="E1376" t="s">
        <v>149</v>
      </c>
    </row>
    <row r="1377" spans="5:5" x14ac:dyDescent="0.25">
      <c r="E1377" t="s">
        <v>149</v>
      </c>
    </row>
    <row r="1378" spans="5:5" x14ac:dyDescent="0.25">
      <c r="E1378" t="s">
        <v>149</v>
      </c>
    </row>
    <row r="1379" spans="5:5" x14ac:dyDescent="0.25">
      <c r="E1379" t="s">
        <v>149</v>
      </c>
    </row>
    <row r="1380" spans="5:5" x14ac:dyDescent="0.25">
      <c r="E1380" t="s">
        <v>149</v>
      </c>
    </row>
    <row r="1381" spans="5:5" x14ac:dyDescent="0.25">
      <c r="E1381" t="s">
        <v>149</v>
      </c>
    </row>
    <row r="1382" spans="5:5" x14ac:dyDescent="0.25">
      <c r="E1382" t="s">
        <v>149</v>
      </c>
    </row>
    <row r="1383" spans="5:5" x14ac:dyDescent="0.25">
      <c r="E1383" t="s">
        <v>149</v>
      </c>
    </row>
    <row r="1384" spans="5:5" x14ac:dyDescent="0.25">
      <c r="E1384" t="s">
        <v>149</v>
      </c>
    </row>
    <row r="1385" spans="5:5" x14ac:dyDescent="0.25">
      <c r="E1385" t="s">
        <v>149</v>
      </c>
    </row>
    <row r="1386" spans="5:5" x14ac:dyDescent="0.25">
      <c r="E1386" t="s">
        <v>149</v>
      </c>
    </row>
    <row r="1387" spans="5:5" x14ac:dyDescent="0.25">
      <c r="E1387" t="s">
        <v>149</v>
      </c>
    </row>
    <row r="1388" spans="5:5" x14ac:dyDescent="0.25">
      <c r="E1388" t="s">
        <v>149</v>
      </c>
    </row>
    <row r="1389" spans="5:5" x14ac:dyDescent="0.25">
      <c r="E1389" t="s">
        <v>149</v>
      </c>
    </row>
    <row r="1390" spans="5:5" x14ac:dyDescent="0.25">
      <c r="E1390" t="s">
        <v>149</v>
      </c>
    </row>
    <row r="1391" spans="5:5" x14ac:dyDescent="0.25">
      <c r="E1391" t="s">
        <v>149</v>
      </c>
    </row>
    <row r="1392" spans="5:5" x14ac:dyDescent="0.25">
      <c r="E1392" t="s">
        <v>149</v>
      </c>
    </row>
    <row r="1393" spans="5:5" x14ac:dyDescent="0.25">
      <c r="E1393" t="s">
        <v>149</v>
      </c>
    </row>
    <row r="1394" spans="5:5" x14ac:dyDescent="0.25">
      <c r="E1394" t="s">
        <v>149</v>
      </c>
    </row>
    <row r="1395" spans="5:5" x14ac:dyDescent="0.25">
      <c r="E1395" t="s">
        <v>149</v>
      </c>
    </row>
    <row r="1396" spans="5:5" x14ac:dyDescent="0.25">
      <c r="E1396" t="s">
        <v>149</v>
      </c>
    </row>
    <row r="1397" spans="5:5" x14ac:dyDescent="0.25">
      <c r="E1397" t="s">
        <v>149</v>
      </c>
    </row>
    <row r="1398" spans="5:5" x14ac:dyDescent="0.25">
      <c r="E1398" t="s">
        <v>149</v>
      </c>
    </row>
    <row r="1399" spans="5:5" x14ac:dyDescent="0.25">
      <c r="E1399" t="s">
        <v>149</v>
      </c>
    </row>
    <row r="1400" spans="5:5" x14ac:dyDescent="0.25">
      <c r="E1400" t="s">
        <v>149</v>
      </c>
    </row>
    <row r="1401" spans="5:5" x14ac:dyDescent="0.25">
      <c r="E1401" t="s">
        <v>149</v>
      </c>
    </row>
    <row r="1402" spans="5:5" x14ac:dyDescent="0.25">
      <c r="E1402" t="s">
        <v>149</v>
      </c>
    </row>
    <row r="1403" spans="5:5" x14ac:dyDescent="0.25">
      <c r="E1403" t="s">
        <v>149</v>
      </c>
    </row>
    <row r="1404" spans="5:5" x14ac:dyDescent="0.25">
      <c r="E1404" t="s">
        <v>149</v>
      </c>
    </row>
    <row r="1405" spans="5:5" x14ac:dyDescent="0.25">
      <c r="E1405" t="s">
        <v>149</v>
      </c>
    </row>
    <row r="1406" spans="5:5" x14ac:dyDescent="0.25">
      <c r="E1406" t="s">
        <v>149</v>
      </c>
    </row>
    <row r="1407" spans="5:5" x14ac:dyDescent="0.25">
      <c r="E1407" t="s">
        <v>149</v>
      </c>
    </row>
    <row r="1408" spans="5:5" x14ac:dyDescent="0.25">
      <c r="E1408" t="s">
        <v>149</v>
      </c>
    </row>
    <row r="1409" spans="5:5" x14ac:dyDescent="0.25">
      <c r="E1409" t="s">
        <v>149</v>
      </c>
    </row>
    <row r="1410" spans="5:5" x14ac:dyDescent="0.25">
      <c r="E1410" t="s">
        <v>149</v>
      </c>
    </row>
    <row r="1411" spans="5:5" x14ac:dyDescent="0.25">
      <c r="E1411" t="s">
        <v>149</v>
      </c>
    </row>
    <row r="1412" spans="5:5" x14ac:dyDescent="0.25">
      <c r="E1412" t="s">
        <v>149</v>
      </c>
    </row>
    <row r="1413" spans="5:5" x14ac:dyDescent="0.25">
      <c r="E1413" t="s">
        <v>149</v>
      </c>
    </row>
    <row r="1414" spans="5:5" x14ac:dyDescent="0.25">
      <c r="E1414" t="s">
        <v>149</v>
      </c>
    </row>
    <row r="1415" spans="5:5" x14ac:dyDescent="0.25">
      <c r="E1415" t="s">
        <v>149</v>
      </c>
    </row>
    <row r="1416" spans="5:5" x14ac:dyDescent="0.25">
      <c r="E1416" t="s">
        <v>149</v>
      </c>
    </row>
    <row r="1417" spans="5:5" x14ac:dyDescent="0.25">
      <c r="E1417" t="s">
        <v>149</v>
      </c>
    </row>
    <row r="1418" spans="5:5" x14ac:dyDescent="0.25">
      <c r="E1418" t="s">
        <v>149</v>
      </c>
    </row>
    <row r="1419" spans="5:5" x14ac:dyDescent="0.25">
      <c r="E1419" t="s">
        <v>149</v>
      </c>
    </row>
    <row r="1420" spans="5:5" x14ac:dyDescent="0.25">
      <c r="E1420" t="s">
        <v>149</v>
      </c>
    </row>
    <row r="1421" spans="5:5" x14ac:dyDescent="0.25">
      <c r="E1421" t="s">
        <v>149</v>
      </c>
    </row>
    <row r="1422" spans="5:5" x14ac:dyDescent="0.25">
      <c r="E1422" t="s">
        <v>149</v>
      </c>
    </row>
    <row r="1423" spans="5:5" x14ac:dyDescent="0.25">
      <c r="E1423" t="s">
        <v>149</v>
      </c>
    </row>
    <row r="1424" spans="5:5" x14ac:dyDescent="0.25">
      <c r="E1424" t="s">
        <v>149</v>
      </c>
    </row>
    <row r="1425" spans="5:5" x14ac:dyDescent="0.25">
      <c r="E1425" t="s">
        <v>149</v>
      </c>
    </row>
    <row r="1426" spans="5:5" x14ac:dyDescent="0.25">
      <c r="E1426" t="s">
        <v>149</v>
      </c>
    </row>
    <row r="1427" spans="5:5" x14ac:dyDescent="0.25">
      <c r="E1427" t="s">
        <v>149</v>
      </c>
    </row>
    <row r="1428" spans="5:5" x14ac:dyDescent="0.25">
      <c r="E1428" t="s">
        <v>149</v>
      </c>
    </row>
    <row r="1429" spans="5:5" x14ac:dyDescent="0.25">
      <c r="E1429" t="s">
        <v>149</v>
      </c>
    </row>
    <row r="1430" spans="5:5" x14ac:dyDescent="0.25">
      <c r="E1430" t="s">
        <v>149</v>
      </c>
    </row>
    <row r="1431" spans="5:5" x14ac:dyDescent="0.25">
      <c r="E1431" t="s">
        <v>149</v>
      </c>
    </row>
    <row r="1432" spans="5:5" x14ac:dyDescent="0.25">
      <c r="E1432" t="s">
        <v>149</v>
      </c>
    </row>
    <row r="1433" spans="5:5" x14ac:dyDescent="0.25">
      <c r="E1433" t="s">
        <v>149</v>
      </c>
    </row>
    <row r="1434" spans="5:5" x14ac:dyDescent="0.25">
      <c r="E1434" t="s">
        <v>149</v>
      </c>
    </row>
    <row r="1435" spans="5:5" x14ac:dyDescent="0.25">
      <c r="E1435" t="s">
        <v>149</v>
      </c>
    </row>
    <row r="1436" spans="5:5" x14ac:dyDescent="0.25">
      <c r="E1436" t="s">
        <v>149</v>
      </c>
    </row>
    <row r="1437" spans="5:5" x14ac:dyDescent="0.25">
      <c r="E1437" t="s">
        <v>149</v>
      </c>
    </row>
    <row r="1438" spans="5:5" x14ac:dyDescent="0.25">
      <c r="E1438" t="s">
        <v>149</v>
      </c>
    </row>
    <row r="1439" spans="5:5" x14ac:dyDescent="0.25">
      <c r="E1439" t="s">
        <v>149</v>
      </c>
    </row>
    <row r="1440" spans="5:5" x14ac:dyDescent="0.25">
      <c r="E1440" t="s">
        <v>149</v>
      </c>
    </row>
    <row r="1441" spans="5:5" x14ac:dyDescent="0.25">
      <c r="E1441" t="s">
        <v>149</v>
      </c>
    </row>
    <row r="1442" spans="5:5" x14ac:dyDescent="0.25">
      <c r="E1442" t="s">
        <v>149</v>
      </c>
    </row>
    <row r="1443" spans="5:5" x14ac:dyDescent="0.25">
      <c r="E1443" t="s">
        <v>149</v>
      </c>
    </row>
    <row r="1444" spans="5:5" x14ac:dyDescent="0.25">
      <c r="E1444" t="s">
        <v>149</v>
      </c>
    </row>
    <row r="1445" spans="5:5" x14ac:dyDescent="0.25">
      <c r="E1445" t="s">
        <v>149</v>
      </c>
    </row>
    <row r="1446" spans="5:5" x14ac:dyDescent="0.25">
      <c r="E1446" t="s">
        <v>149</v>
      </c>
    </row>
    <row r="1447" spans="5:5" x14ac:dyDescent="0.25">
      <c r="E1447" t="s">
        <v>149</v>
      </c>
    </row>
    <row r="1448" spans="5:5" x14ac:dyDescent="0.25">
      <c r="E1448" t="s">
        <v>149</v>
      </c>
    </row>
    <row r="1449" spans="5:5" x14ac:dyDescent="0.25">
      <c r="E1449" t="s">
        <v>149</v>
      </c>
    </row>
    <row r="1450" spans="5:5" x14ac:dyDescent="0.25">
      <c r="E1450" t="s">
        <v>149</v>
      </c>
    </row>
    <row r="1451" spans="5:5" x14ac:dyDescent="0.25">
      <c r="E1451" t="s">
        <v>149</v>
      </c>
    </row>
    <row r="1452" spans="5:5" x14ac:dyDescent="0.25">
      <c r="E1452" t="s">
        <v>149</v>
      </c>
    </row>
    <row r="1453" spans="5:5" x14ac:dyDescent="0.25">
      <c r="E1453" t="s">
        <v>149</v>
      </c>
    </row>
    <row r="1454" spans="5:5" x14ac:dyDescent="0.25">
      <c r="E1454" t="s">
        <v>149</v>
      </c>
    </row>
    <row r="1455" spans="5:5" x14ac:dyDescent="0.25">
      <c r="E1455" t="s">
        <v>149</v>
      </c>
    </row>
    <row r="1456" spans="5:5" x14ac:dyDescent="0.25">
      <c r="E1456" t="s">
        <v>149</v>
      </c>
    </row>
    <row r="1457" spans="5:5" x14ac:dyDescent="0.25">
      <c r="E1457" t="s">
        <v>149</v>
      </c>
    </row>
    <row r="1458" spans="5:5" x14ac:dyDescent="0.25">
      <c r="E1458" t="s">
        <v>149</v>
      </c>
    </row>
    <row r="1459" spans="5:5" x14ac:dyDescent="0.25">
      <c r="E1459" t="s">
        <v>149</v>
      </c>
    </row>
    <row r="1460" spans="5:5" x14ac:dyDescent="0.25">
      <c r="E1460" t="s">
        <v>149</v>
      </c>
    </row>
    <row r="1461" spans="5:5" x14ac:dyDescent="0.25">
      <c r="E1461" t="s">
        <v>149</v>
      </c>
    </row>
    <row r="1462" spans="5:5" x14ac:dyDescent="0.25">
      <c r="E1462" t="s">
        <v>149</v>
      </c>
    </row>
    <row r="1463" spans="5:5" x14ac:dyDescent="0.25">
      <c r="E1463" t="s">
        <v>149</v>
      </c>
    </row>
    <row r="1464" spans="5:5" x14ac:dyDescent="0.25">
      <c r="E1464" t="s">
        <v>149</v>
      </c>
    </row>
    <row r="1465" spans="5:5" x14ac:dyDescent="0.25">
      <c r="E1465" t="s">
        <v>149</v>
      </c>
    </row>
    <row r="1466" spans="5:5" x14ac:dyDescent="0.25">
      <c r="E1466" t="s">
        <v>149</v>
      </c>
    </row>
    <row r="1467" spans="5:5" x14ac:dyDescent="0.25">
      <c r="E1467" t="s">
        <v>149</v>
      </c>
    </row>
    <row r="1468" spans="5:5" x14ac:dyDescent="0.25">
      <c r="E1468" t="s">
        <v>149</v>
      </c>
    </row>
    <row r="1469" spans="5:5" x14ac:dyDescent="0.25">
      <c r="E1469" t="s">
        <v>149</v>
      </c>
    </row>
    <row r="1470" spans="5:5" x14ac:dyDescent="0.25">
      <c r="E1470" t="s">
        <v>149</v>
      </c>
    </row>
    <row r="1471" spans="5:5" x14ac:dyDescent="0.25">
      <c r="E1471" t="s">
        <v>149</v>
      </c>
    </row>
    <row r="1472" spans="5:5" x14ac:dyDescent="0.25">
      <c r="E1472" t="s">
        <v>149</v>
      </c>
    </row>
    <row r="1473" spans="5:5" x14ac:dyDescent="0.25">
      <c r="E1473" t="s">
        <v>149</v>
      </c>
    </row>
    <row r="1474" spans="5:5" x14ac:dyDescent="0.25">
      <c r="E1474" t="s">
        <v>149</v>
      </c>
    </row>
    <row r="1475" spans="5:5" x14ac:dyDescent="0.25">
      <c r="E1475" t="s">
        <v>149</v>
      </c>
    </row>
    <row r="1476" spans="5:5" x14ac:dyDescent="0.25">
      <c r="E1476" t="s">
        <v>149</v>
      </c>
    </row>
    <row r="1477" spans="5:5" x14ac:dyDescent="0.25">
      <c r="E1477" t="s">
        <v>149</v>
      </c>
    </row>
    <row r="1478" spans="5:5" x14ac:dyDescent="0.25">
      <c r="E1478" t="s">
        <v>149</v>
      </c>
    </row>
    <row r="1479" spans="5:5" x14ac:dyDescent="0.25">
      <c r="E1479" t="s">
        <v>149</v>
      </c>
    </row>
    <row r="1480" spans="5:5" x14ac:dyDescent="0.25">
      <c r="E1480" t="s">
        <v>149</v>
      </c>
    </row>
    <row r="1481" spans="5:5" x14ac:dyDescent="0.25">
      <c r="E1481" t="s">
        <v>149</v>
      </c>
    </row>
    <row r="1482" spans="5:5" x14ac:dyDescent="0.25">
      <c r="E1482" t="s">
        <v>149</v>
      </c>
    </row>
    <row r="1483" spans="5:5" x14ac:dyDescent="0.25">
      <c r="E1483" t="s">
        <v>149</v>
      </c>
    </row>
    <row r="1484" spans="5:5" x14ac:dyDescent="0.25">
      <c r="E1484" t="s">
        <v>149</v>
      </c>
    </row>
    <row r="1485" spans="5:5" x14ac:dyDescent="0.25">
      <c r="E1485" t="s">
        <v>149</v>
      </c>
    </row>
    <row r="1486" spans="5:5" x14ac:dyDescent="0.25">
      <c r="E1486" t="s">
        <v>149</v>
      </c>
    </row>
    <row r="1487" spans="5:5" x14ac:dyDescent="0.25">
      <c r="E1487" t="s">
        <v>149</v>
      </c>
    </row>
    <row r="1488" spans="5:5" x14ac:dyDescent="0.25">
      <c r="E1488" t="s">
        <v>149</v>
      </c>
    </row>
    <row r="1489" spans="5:5" x14ac:dyDescent="0.25">
      <c r="E1489" t="s">
        <v>149</v>
      </c>
    </row>
    <row r="1490" spans="5:5" x14ac:dyDescent="0.25">
      <c r="E1490" t="s">
        <v>149</v>
      </c>
    </row>
    <row r="1491" spans="5:5" x14ac:dyDescent="0.25">
      <c r="E1491" t="s">
        <v>149</v>
      </c>
    </row>
    <row r="1492" spans="5:5" x14ac:dyDescent="0.25">
      <c r="E1492" t="s">
        <v>149</v>
      </c>
    </row>
    <row r="1493" spans="5:5" x14ac:dyDescent="0.25">
      <c r="E1493" t="s">
        <v>149</v>
      </c>
    </row>
    <row r="1494" spans="5:5" x14ac:dyDescent="0.25">
      <c r="E1494" t="s">
        <v>149</v>
      </c>
    </row>
    <row r="1495" spans="5:5" x14ac:dyDescent="0.25">
      <c r="E1495" t="s">
        <v>149</v>
      </c>
    </row>
    <row r="1496" spans="5:5" x14ac:dyDescent="0.25">
      <c r="E1496" t="s">
        <v>149</v>
      </c>
    </row>
    <row r="1497" spans="5:5" x14ac:dyDescent="0.25">
      <c r="E1497" t="s">
        <v>149</v>
      </c>
    </row>
    <row r="1498" spans="5:5" x14ac:dyDescent="0.25">
      <c r="E1498" t="s">
        <v>149</v>
      </c>
    </row>
    <row r="1499" spans="5:5" x14ac:dyDescent="0.25">
      <c r="E1499" t="s">
        <v>149</v>
      </c>
    </row>
    <row r="1500" spans="5:5" x14ac:dyDescent="0.25">
      <c r="E1500" t="s">
        <v>149</v>
      </c>
    </row>
    <row r="1501" spans="5:5" x14ac:dyDescent="0.25">
      <c r="E1501" t="s">
        <v>149</v>
      </c>
    </row>
    <row r="1502" spans="5:5" x14ac:dyDescent="0.25">
      <c r="E1502" t="s">
        <v>149</v>
      </c>
    </row>
    <row r="1503" spans="5:5" x14ac:dyDescent="0.25">
      <c r="E1503" t="s">
        <v>149</v>
      </c>
    </row>
    <row r="1504" spans="5:5" x14ac:dyDescent="0.25">
      <c r="E1504" t="s">
        <v>149</v>
      </c>
    </row>
    <row r="1505" spans="5:5" x14ac:dyDescent="0.25">
      <c r="E1505" t="s">
        <v>149</v>
      </c>
    </row>
    <row r="1506" spans="5:5" x14ac:dyDescent="0.25">
      <c r="E1506" t="s">
        <v>149</v>
      </c>
    </row>
    <row r="1507" spans="5:5" x14ac:dyDescent="0.25">
      <c r="E1507" t="s">
        <v>149</v>
      </c>
    </row>
    <row r="1508" spans="5:5" x14ac:dyDescent="0.25">
      <c r="E1508" t="s">
        <v>149</v>
      </c>
    </row>
    <row r="1509" spans="5:5" x14ac:dyDescent="0.25">
      <c r="E1509" t="s">
        <v>149</v>
      </c>
    </row>
    <row r="1510" spans="5:5" x14ac:dyDescent="0.25">
      <c r="E1510" t="s">
        <v>149</v>
      </c>
    </row>
    <row r="1511" spans="5:5" x14ac:dyDescent="0.25">
      <c r="E1511" t="s">
        <v>149</v>
      </c>
    </row>
    <row r="1512" spans="5:5" x14ac:dyDescent="0.25">
      <c r="E1512" t="s">
        <v>149</v>
      </c>
    </row>
    <row r="1513" spans="5:5" x14ac:dyDescent="0.25">
      <c r="E1513" t="s">
        <v>149</v>
      </c>
    </row>
    <row r="1514" spans="5:5" x14ac:dyDescent="0.25">
      <c r="E1514" t="s">
        <v>149</v>
      </c>
    </row>
    <row r="1515" spans="5:5" x14ac:dyDescent="0.25">
      <c r="E1515" t="s">
        <v>149</v>
      </c>
    </row>
    <row r="1516" spans="5:5" x14ac:dyDescent="0.25">
      <c r="E1516" t="s">
        <v>149</v>
      </c>
    </row>
    <row r="1517" spans="5:5" x14ac:dyDescent="0.25">
      <c r="E1517" t="s">
        <v>149</v>
      </c>
    </row>
    <row r="1518" spans="5:5" x14ac:dyDescent="0.25">
      <c r="E1518" t="s">
        <v>149</v>
      </c>
    </row>
    <row r="1519" spans="5:5" x14ac:dyDescent="0.25">
      <c r="E1519" t="s">
        <v>149</v>
      </c>
    </row>
    <row r="1520" spans="5:5" x14ac:dyDescent="0.25">
      <c r="E1520" t="s">
        <v>149</v>
      </c>
    </row>
    <row r="1521" spans="5:5" x14ac:dyDescent="0.25">
      <c r="E1521" t="s">
        <v>149</v>
      </c>
    </row>
    <row r="1522" spans="5:5" x14ac:dyDescent="0.25">
      <c r="E1522" t="s">
        <v>149</v>
      </c>
    </row>
    <row r="1523" spans="5:5" x14ac:dyDescent="0.25">
      <c r="E1523" t="s">
        <v>149</v>
      </c>
    </row>
    <row r="1524" spans="5:5" x14ac:dyDescent="0.25">
      <c r="E1524" t="s">
        <v>149</v>
      </c>
    </row>
    <row r="1525" spans="5:5" x14ac:dyDescent="0.25">
      <c r="E1525" t="s">
        <v>149</v>
      </c>
    </row>
    <row r="1526" spans="5:5" x14ac:dyDescent="0.25">
      <c r="E1526" t="s">
        <v>149</v>
      </c>
    </row>
    <row r="1527" spans="5:5" x14ac:dyDescent="0.25">
      <c r="E1527" t="s">
        <v>149</v>
      </c>
    </row>
    <row r="1528" spans="5:5" x14ac:dyDescent="0.25">
      <c r="E1528" t="s">
        <v>149</v>
      </c>
    </row>
    <row r="1529" spans="5:5" x14ac:dyDescent="0.25">
      <c r="E1529" t="s">
        <v>149</v>
      </c>
    </row>
    <row r="1530" spans="5:5" x14ac:dyDescent="0.25">
      <c r="E1530" t="s">
        <v>149</v>
      </c>
    </row>
    <row r="1531" spans="5:5" x14ac:dyDescent="0.25">
      <c r="E1531" t="s">
        <v>149</v>
      </c>
    </row>
    <row r="1532" spans="5:5" x14ac:dyDescent="0.25">
      <c r="E1532" t="s">
        <v>149</v>
      </c>
    </row>
    <row r="1533" spans="5:5" x14ac:dyDescent="0.25">
      <c r="E1533" t="s">
        <v>149</v>
      </c>
    </row>
    <row r="1534" spans="5:5" x14ac:dyDescent="0.25">
      <c r="E1534" t="s">
        <v>149</v>
      </c>
    </row>
    <row r="1535" spans="5:5" x14ac:dyDescent="0.25">
      <c r="E1535" t="s">
        <v>149</v>
      </c>
    </row>
    <row r="1536" spans="5:5" x14ac:dyDescent="0.25">
      <c r="E1536" t="s">
        <v>149</v>
      </c>
    </row>
    <row r="1537" spans="5:5" x14ac:dyDescent="0.25">
      <c r="E1537" t="s">
        <v>149</v>
      </c>
    </row>
    <row r="1538" spans="5:5" x14ac:dyDescent="0.25">
      <c r="E1538" t="s">
        <v>149</v>
      </c>
    </row>
    <row r="1539" spans="5:5" x14ac:dyDescent="0.25">
      <c r="E1539" t="s">
        <v>149</v>
      </c>
    </row>
    <row r="1540" spans="5:5" x14ac:dyDescent="0.25">
      <c r="E1540" t="s">
        <v>149</v>
      </c>
    </row>
    <row r="1541" spans="5:5" x14ac:dyDescent="0.25">
      <c r="E1541" t="s">
        <v>149</v>
      </c>
    </row>
    <row r="1542" spans="5:5" x14ac:dyDescent="0.25">
      <c r="E1542" t="s">
        <v>149</v>
      </c>
    </row>
    <row r="1543" spans="5:5" x14ac:dyDescent="0.25">
      <c r="E1543" t="s">
        <v>149</v>
      </c>
    </row>
    <row r="1544" spans="5:5" x14ac:dyDescent="0.25">
      <c r="E1544" t="s">
        <v>149</v>
      </c>
    </row>
    <row r="1545" spans="5:5" x14ac:dyDescent="0.25">
      <c r="E1545" t="s">
        <v>149</v>
      </c>
    </row>
    <row r="1546" spans="5:5" x14ac:dyDescent="0.25">
      <c r="E1546" t="s">
        <v>149</v>
      </c>
    </row>
    <row r="1547" spans="5:5" x14ac:dyDescent="0.25">
      <c r="E1547" t="s">
        <v>149</v>
      </c>
    </row>
    <row r="1548" spans="5:5" x14ac:dyDescent="0.25">
      <c r="E1548" t="s">
        <v>149</v>
      </c>
    </row>
    <row r="1549" spans="5:5" x14ac:dyDescent="0.25">
      <c r="E1549" t="s">
        <v>149</v>
      </c>
    </row>
    <row r="1550" spans="5:5" x14ac:dyDescent="0.25">
      <c r="E1550" t="s">
        <v>149</v>
      </c>
    </row>
    <row r="1551" spans="5:5" x14ac:dyDescent="0.25">
      <c r="E1551" t="s">
        <v>149</v>
      </c>
    </row>
    <row r="1552" spans="5:5" x14ac:dyDescent="0.25">
      <c r="E1552" t="s">
        <v>149</v>
      </c>
    </row>
    <row r="1553" spans="5:5" x14ac:dyDescent="0.25">
      <c r="E1553" t="s">
        <v>149</v>
      </c>
    </row>
    <row r="1554" spans="5:5" x14ac:dyDescent="0.25">
      <c r="E1554" t="s">
        <v>149</v>
      </c>
    </row>
    <row r="1555" spans="5:5" x14ac:dyDescent="0.25">
      <c r="E1555" t="s">
        <v>149</v>
      </c>
    </row>
    <row r="1556" spans="5:5" x14ac:dyDescent="0.25">
      <c r="E1556" t="s">
        <v>149</v>
      </c>
    </row>
    <row r="1557" spans="5:5" x14ac:dyDescent="0.25">
      <c r="E1557" t="s">
        <v>149</v>
      </c>
    </row>
    <row r="1558" spans="5:5" x14ac:dyDescent="0.25">
      <c r="E1558" t="s">
        <v>149</v>
      </c>
    </row>
    <row r="1559" spans="5:5" x14ac:dyDescent="0.25">
      <c r="E1559" t="s">
        <v>149</v>
      </c>
    </row>
    <row r="1560" spans="5:5" x14ac:dyDescent="0.25">
      <c r="E1560" t="s">
        <v>149</v>
      </c>
    </row>
    <row r="1561" spans="5:5" x14ac:dyDescent="0.25">
      <c r="E1561" t="s">
        <v>149</v>
      </c>
    </row>
    <row r="1562" spans="5:5" x14ac:dyDescent="0.25">
      <c r="E1562" t="s">
        <v>149</v>
      </c>
    </row>
    <row r="1563" spans="5:5" x14ac:dyDescent="0.25">
      <c r="E1563" t="s">
        <v>149</v>
      </c>
    </row>
    <row r="1564" spans="5:5" x14ac:dyDescent="0.25">
      <c r="E1564" t="s">
        <v>149</v>
      </c>
    </row>
    <row r="1565" spans="5:5" x14ac:dyDescent="0.25">
      <c r="E1565" t="s">
        <v>149</v>
      </c>
    </row>
    <row r="1566" spans="5:5" x14ac:dyDescent="0.25">
      <c r="E1566" t="s">
        <v>149</v>
      </c>
    </row>
    <row r="1567" spans="5:5" x14ac:dyDescent="0.25">
      <c r="E1567" t="s">
        <v>149</v>
      </c>
    </row>
    <row r="1568" spans="5:5" x14ac:dyDescent="0.25">
      <c r="E1568" t="s">
        <v>149</v>
      </c>
    </row>
    <row r="1569" spans="5:5" x14ac:dyDescent="0.25">
      <c r="E1569" t="s">
        <v>149</v>
      </c>
    </row>
    <row r="1570" spans="5:5" x14ac:dyDescent="0.25">
      <c r="E1570" t="s">
        <v>149</v>
      </c>
    </row>
    <row r="1571" spans="5:5" x14ac:dyDescent="0.25">
      <c r="E1571" t="s">
        <v>149</v>
      </c>
    </row>
    <row r="1572" spans="5:5" x14ac:dyDescent="0.25">
      <c r="E1572" t="s">
        <v>149</v>
      </c>
    </row>
    <row r="1573" spans="5:5" x14ac:dyDescent="0.25">
      <c r="E1573" t="s">
        <v>149</v>
      </c>
    </row>
    <row r="1574" spans="5:5" x14ac:dyDescent="0.25">
      <c r="E1574" t="s">
        <v>149</v>
      </c>
    </row>
    <row r="1575" spans="5:5" x14ac:dyDescent="0.25">
      <c r="E1575" t="s">
        <v>149</v>
      </c>
    </row>
    <row r="1576" spans="5:5" x14ac:dyDescent="0.25">
      <c r="E1576" t="s">
        <v>149</v>
      </c>
    </row>
    <row r="1577" spans="5:5" x14ac:dyDescent="0.25">
      <c r="E1577" t="s">
        <v>149</v>
      </c>
    </row>
    <row r="1578" spans="5:5" x14ac:dyDescent="0.25">
      <c r="E1578" t="s">
        <v>149</v>
      </c>
    </row>
    <row r="1579" spans="5:5" x14ac:dyDescent="0.25">
      <c r="E1579" t="s">
        <v>149</v>
      </c>
    </row>
    <row r="1580" spans="5:5" x14ac:dyDescent="0.25">
      <c r="E1580" t="s">
        <v>149</v>
      </c>
    </row>
    <row r="1581" spans="5:5" x14ac:dyDescent="0.25">
      <c r="E1581" t="s">
        <v>149</v>
      </c>
    </row>
    <row r="1582" spans="5:5" x14ac:dyDescent="0.25">
      <c r="E1582" t="s">
        <v>149</v>
      </c>
    </row>
    <row r="1583" spans="5:5" x14ac:dyDescent="0.25">
      <c r="E1583" t="s">
        <v>149</v>
      </c>
    </row>
    <row r="1584" spans="5:5" x14ac:dyDescent="0.25">
      <c r="E1584" t="s">
        <v>149</v>
      </c>
    </row>
    <row r="1585" spans="5:5" x14ac:dyDescent="0.25">
      <c r="E1585" t="s">
        <v>149</v>
      </c>
    </row>
    <row r="1586" spans="5:5" x14ac:dyDescent="0.25">
      <c r="E1586" t="s">
        <v>149</v>
      </c>
    </row>
    <row r="1587" spans="5:5" x14ac:dyDescent="0.25">
      <c r="E1587" t="s">
        <v>149</v>
      </c>
    </row>
    <row r="1588" spans="5:5" x14ac:dyDescent="0.25">
      <c r="E1588" t="s">
        <v>149</v>
      </c>
    </row>
    <row r="1589" spans="5:5" x14ac:dyDescent="0.25">
      <c r="E1589" t="s">
        <v>149</v>
      </c>
    </row>
    <row r="1590" spans="5:5" x14ac:dyDescent="0.25">
      <c r="E1590" t="s">
        <v>149</v>
      </c>
    </row>
    <row r="1591" spans="5:5" x14ac:dyDescent="0.25">
      <c r="E1591" t="s">
        <v>149</v>
      </c>
    </row>
    <row r="1592" spans="5:5" x14ac:dyDescent="0.25">
      <c r="E1592" t="s">
        <v>149</v>
      </c>
    </row>
    <row r="1593" spans="5:5" x14ac:dyDescent="0.25">
      <c r="E1593" t="s">
        <v>149</v>
      </c>
    </row>
    <row r="1594" spans="5:5" x14ac:dyDescent="0.25">
      <c r="E1594" t="s">
        <v>149</v>
      </c>
    </row>
    <row r="1595" spans="5:5" x14ac:dyDescent="0.25">
      <c r="E1595" t="s">
        <v>149</v>
      </c>
    </row>
    <row r="1596" spans="5:5" x14ac:dyDescent="0.25">
      <c r="E1596" t="s">
        <v>149</v>
      </c>
    </row>
    <row r="1597" spans="5:5" x14ac:dyDescent="0.25">
      <c r="E1597" t="s">
        <v>149</v>
      </c>
    </row>
    <row r="1598" spans="5:5" x14ac:dyDescent="0.25">
      <c r="E1598" t="s">
        <v>149</v>
      </c>
    </row>
    <row r="1599" spans="5:5" x14ac:dyDescent="0.25">
      <c r="E1599" t="s">
        <v>149</v>
      </c>
    </row>
    <row r="1600" spans="5:5" x14ac:dyDescent="0.25">
      <c r="E1600" t="s">
        <v>149</v>
      </c>
    </row>
    <row r="1601" spans="5:5" x14ac:dyDescent="0.25">
      <c r="E1601" t="s">
        <v>149</v>
      </c>
    </row>
    <row r="1602" spans="5:5" x14ac:dyDescent="0.25">
      <c r="E1602" t="s">
        <v>149</v>
      </c>
    </row>
    <row r="1603" spans="5:5" x14ac:dyDescent="0.25">
      <c r="E1603" t="s">
        <v>149</v>
      </c>
    </row>
    <row r="1604" spans="5:5" x14ac:dyDescent="0.25">
      <c r="E1604" t="s">
        <v>149</v>
      </c>
    </row>
    <row r="1605" spans="5:5" x14ac:dyDescent="0.25">
      <c r="E1605" t="s">
        <v>149</v>
      </c>
    </row>
    <row r="1606" spans="5:5" x14ac:dyDescent="0.25">
      <c r="E1606" t="s">
        <v>149</v>
      </c>
    </row>
    <row r="1607" spans="5:5" x14ac:dyDescent="0.25">
      <c r="E1607" t="s">
        <v>149</v>
      </c>
    </row>
    <row r="1608" spans="5:5" x14ac:dyDescent="0.25">
      <c r="E1608" t="s">
        <v>149</v>
      </c>
    </row>
    <row r="1609" spans="5:5" x14ac:dyDescent="0.25">
      <c r="E1609" t="s">
        <v>149</v>
      </c>
    </row>
    <row r="1610" spans="5:5" x14ac:dyDescent="0.25">
      <c r="E1610" t="s">
        <v>149</v>
      </c>
    </row>
    <row r="1611" spans="5:5" x14ac:dyDescent="0.25">
      <c r="E1611" t="s">
        <v>149</v>
      </c>
    </row>
    <row r="1612" spans="5:5" x14ac:dyDescent="0.25">
      <c r="E1612" t="s">
        <v>149</v>
      </c>
    </row>
    <row r="1613" spans="5:5" x14ac:dyDescent="0.25">
      <c r="E1613" t="s">
        <v>149</v>
      </c>
    </row>
    <row r="1614" spans="5:5" x14ac:dyDescent="0.25">
      <c r="E1614" t="s">
        <v>149</v>
      </c>
    </row>
    <row r="1615" spans="5:5" x14ac:dyDescent="0.25">
      <c r="E1615" t="s">
        <v>149</v>
      </c>
    </row>
    <row r="1616" spans="5:5" x14ac:dyDescent="0.25">
      <c r="E1616" t="s">
        <v>149</v>
      </c>
    </row>
    <row r="1617" spans="5:5" x14ac:dyDescent="0.25">
      <c r="E1617" t="s">
        <v>149</v>
      </c>
    </row>
    <row r="1618" spans="5:5" x14ac:dyDescent="0.25">
      <c r="E1618" t="s">
        <v>149</v>
      </c>
    </row>
    <row r="1619" spans="5:5" x14ac:dyDescent="0.25">
      <c r="E1619" t="s">
        <v>149</v>
      </c>
    </row>
    <row r="1620" spans="5:5" x14ac:dyDescent="0.25">
      <c r="E1620" t="s">
        <v>149</v>
      </c>
    </row>
    <row r="1621" spans="5:5" x14ac:dyDescent="0.25">
      <c r="E1621" t="s">
        <v>149</v>
      </c>
    </row>
    <row r="1622" spans="5:5" x14ac:dyDescent="0.25">
      <c r="E1622" t="s">
        <v>149</v>
      </c>
    </row>
    <row r="1623" spans="5:5" x14ac:dyDescent="0.25">
      <c r="E1623" t="s">
        <v>149</v>
      </c>
    </row>
    <row r="1624" spans="5:5" x14ac:dyDescent="0.25">
      <c r="E1624" t="s">
        <v>149</v>
      </c>
    </row>
    <row r="1625" spans="5:5" x14ac:dyDescent="0.25">
      <c r="E1625" t="s">
        <v>149</v>
      </c>
    </row>
    <row r="1626" spans="5:5" x14ac:dyDescent="0.25">
      <c r="E1626" t="s">
        <v>149</v>
      </c>
    </row>
    <row r="1627" spans="5:5" x14ac:dyDescent="0.25">
      <c r="E1627" t="s">
        <v>149</v>
      </c>
    </row>
    <row r="1628" spans="5:5" x14ac:dyDescent="0.25">
      <c r="E1628" t="s">
        <v>149</v>
      </c>
    </row>
    <row r="1629" spans="5:5" x14ac:dyDescent="0.25">
      <c r="E1629" t="s">
        <v>149</v>
      </c>
    </row>
    <row r="1630" spans="5:5" x14ac:dyDescent="0.25">
      <c r="E1630" t="s">
        <v>149</v>
      </c>
    </row>
    <row r="1631" spans="5:5" x14ac:dyDescent="0.25">
      <c r="E1631" t="s">
        <v>149</v>
      </c>
    </row>
    <row r="1632" spans="5:5" x14ac:dyDescent="0.25">
      <c r="E1632" t="s">
        <v>149</v>
      </c>
    </row>
    <row r="1633" spans="5:5" x14ac:dyDescent="0.25">
      <c r="E1633" t="s">
        <v>149</v>
      </c>
    </row>
    <row r="1634" spans="5:5" x14ac:dyDescent="0.25">
      <c r="E1634" t="s">
        <v>149</v>
      </c>
    </row>
    <row r="1635" spans="5:5" x14ac:dyDescent="0.25">
      <c r="E1635" t="s">
        <v>149</v>
      </c>
    </row>
    <row r="1636" spans="5:5" x14ac:dyDescent="0.25">
      <c r="E1636" t="s">
        <v>149</v>
      </c>
    </row>
    <row r="1637" spans="5:5" x14ac:dyDescent="0.25">
      <c r="E1637" t="s">
        <v>149</v>
      </c>
    </row>
    <row r="1638" spans="5:5" x14ac:dyDescent="0.25">
      <c r="E1638" t="s">
        <v>149</v>
      </c>
    </row>
    <row r="1639" spans="5:5" x14ac:dyDescent="0.25">
      <c r="E1639" t="s">
        <v>149</v>
      </c>
    </row>
    <row r="1640" spans="5:5" x14ac:dyDescent="0.25">
      <c r="E1640" t="s">
        <v>149</v>
      </c>
    </row>
    <row r="1641" spans="5:5" x14ac:dyDescent="0.25">
      <c r="E1641" t="s">
        <v>149</v>
      </c>
    </row>
    <row r="1642" spans="5:5" x14ac:dyDescent="0.25">
      <c r="E1642" t="s">
        <v>149</v>
      </c>
    </row>
    <row r="1643" spans="5:5" x14ac:dyDescent="0.25">
      <c r="E1643" t="s">
        <v>149</v>
      </c>
    </row>
    <row r="1644" spans="5:5" x14ac:dyDescent="0.25">
      <c r="E1644" t="s">
        <v>149</v>
      </c>
    </row>
    <row r="1645" spans="5:5" x14ac:dyDescent="0.25">
      <c r="E1645" t="s">
        <v>149</v>
      </c>
    </row>
    <row r="1646" spans="5:5" x14ac:dyDescent="0.25">
      <c r="E1646" t="s">
        <v>149</v>
      </c>
    </row>
    <row r="1647" spans="5:5" x14ac:dyDescent="0.25">
      <c r="E1647" t="s">
        <v>149</v>
      </c>
    </row>
    <row r="1648" spans="5:5" x14ac:dyDescent="0.25">
      <c r="E1648" t="s">
        <v>149</v>
      </c>
    </row>
    <row r="1649" spans="5:5" x14ac:dyDescent="0.25">
      <c r="E1649" t="s">
        <v>149</v>
      </c>
    </row>
    <row r="1650" spans="5:5" x14ac:dyDescent="0.25">
      <c r="E1650" t="s">
        <v>149</v>
      </c>
    </row>
    <row r="1651" spans="5:5" x14ac:dyDescent="0.25">
      <c r="E1651" t="s">
        <v>149</v>
      </c>
    </row>
    <row r="1652" spans="5:5" x14ac:dyDescent="0.25">
      <c r="E1652" t="s">
        <v>149</v>
      </c>
    </row>
    <row r="1653" spans="5:5" x14ac:dyDescent="0.25">
      <c r="E1653" t="s">
        <v>149</v>
      </c>
    </row>
    <row r="1654" spans="5:5" x14ac:dyDescent="0.25">
      <c r="E1654" t="s">
        <v>149</v>
      </c>
    </row>
    <row r="1655" spans="5:5" x14ac:dyDescent="0.25">
      <c r="E1655" t="s">
        <v>149</v>
      </c>
    </row>
    <row r="1656" spans="5:5" x14ac:dyDescent="0.25">
      <c r="E1656" t="s">
        <v>149</v>
      </c>
    </row>
    <row r="1657" spans="5:5" x14ac:dyDescent="0.25">
      <c r="E1657" t="s">
        <v>149</v>
      </c>
    </row>
    <row r="1658" spans="5:5" x14ac:dyDescent="0.25">
      <c r="E1658" t="s">
        <v>149</v>
      </c>
    </row>
    <row r="1659" spans="5:5" x14ac:dyDescent="0.25">
      <c r="E1659" t="s">
        <v>149</v>
      </c>
    </row>
    <row r="1660" spans="5:5" x14ac:dyDescent="0.25">
      <c r="E1660" t="s">
        <v>149</v>
      </c>
    </row>
    <row r="1661" spans="5:5" x14ac:dyDescent="0.25">
      <c r="E1661" t="s">
        <v>149</v>
      </c>
    </row>
    <row r="1662" spans="5:5" x14ac:dyDescent="0.25">
      <c r="E1662" t="s">
        <v>149</v>
      </c>
    </row>
    <row r="1663" spans="5:5" x14ac:dyDescent="0.25">
      <c r="E1663" t="s">
        <v>149</v>
      </c>
    </row>
    <row r="1664" spans="5:5" x14ac:dyDescent="0.25">
      <c r="E1664" t="s">
        <v>149</v>
      </c>
    </row>
    <row r="1665" spans="5:5" x14ac:dyDescent="0.25">
      <c r="E1665" t="s">
        <v>149</v>
      </c>
    </row>
    <row r="1666" spans="5:5" x14ac:dyDescent="0.25">
      <c r="E1666" t="s">
        <v>149</v>
      </c>
    </row>
    <row r="1667" spans="5:5" x14ac:dyDescent="0.25">
      <c r="E1667" t="s">
        <v>149</v>
      </c>
    </row>
    <row r="1668" spans="5:5" x14ac:dyDescent="0.25">
      <c r="E1668" t="s">
        <v>149</v>
      </c>
    </row>
    <row r="1669" spans="5:5" x14ac:dyDescent="0.25">
      <c r="E1669" t="s">
        <v>149</v>
      </c>
    </row>
    <row r="1670" spans="5:5" x14ac:dyDescent="0.25">
      <c r="E1670" t="s">
        <v>149</v>
      </c>
    </row>
    <row r="1671" spans="5:5" x14ac:dyDescent="0.25">
      <c r="E1671" t="s">
        <v>149</v>
      </c>
    </row>
    <row r="1672" spans="5:5" x14ac:dyDescent="0.25">
      <c r="E1672" t="s">
        <v>149</v>
      </c>
    </row>
    <row r="1673" spans="5:5" x14ac:dyDescent="0.25">
      <c r="E1673" t="s">
        <v>149</v>
      </c>
    </row>
    <row r="1674" spans="5:5" x14ac:dyDescent="0.25">
      <c r="E1674" t="s">
        <v>149</v>
      </c>
    </row>
    <row r="1675" spans="5:5" x14ac:dyDescent="0.25">
      <c r="E1675" t="s">
        <v>149</v>
      </c>
    </row>
    <row r="1676" spans="5:5" x14ac:dyDescent="0.25">
      <c r="E1676" t="s">
        <v>149</v>
      </c>
    </row>
    <row r="1677" spans="5:5" x14ac:dyDescent="0.25">
      <c r="E1677" t="s">
        <v>149</v>
      </c>
    </row>
    <row r="1678" spans="5:5" x14ac:dyDescent="0.25">
      <c r="E1678" t="s">
        <v>149</v>
      </c>
    </row>
    <row r="1679" spans="5:5" x14ac:dyDescent="0.25">
      <c r="E1679" t="s">
        <v>149</v>
      </c>
    </row>
    <row r="1680" spans="5:5" x14ac:dyDescent="0.25">
      <c r="E1680" t="s">
        <v>149</v>
      </c>
    </row>
    <row r="1681" spans="5:5" x14ac:dyDescent="0.25">
      <c r="E1681" t="s">
        <v>149</v>
      </c>
    </row>
    <row r="1682" spans="5:5" x14ac:dyDescent="0.25">
      <c r="E1682" t="s">
        <v>149</v>
      </c>
    </row>
    <row r="1683" spans="5:5" x14ac:dyDescent="0.25">
      <c r="E1683" t="s">
        <v>149</v>
      </c>
    </row>
    <row r="1684" spans="5:5" x14ac:dyDescent="0.25">
      <c r="E1684" t="s">
        <v>149</v>
      </c>
    </row>
    <row r="1685" spans="5:5" x14ac:dyDescent="0.25">
      <c r="E1685" t="s">
        <v>149</v>
      </c>
    </row>
    <row r="1686" spans="5:5" x14ac:dyDescent="0.25">
      <c r="E1686" t="s">
        <v>149</v>
      </c>
    </row>
    <row r="1687" spans="5:5" x14ac:dyDescent="0.25">
      <c r="E1687" t="s">
        <v>149</v>
      </c>
    </row>
    <row r="1688" spans="5:5" x14ac:dyDescent="0.25">
      <c r="E1688" t="s">
        <v>149</v>
      </c>
    </row>
    <row r="1689" spans="5:5" x14ac:dyDescent="0.25">
      <c r="E1689" t="s">
        <v>149</v>
      </c>
    </row>
    <row r="1690" spans="5:5" x14ac:dyDescent="0.25">
      <c r="E1690" t="s">
        <v>149</v>
      </c>
    </row>
    <row r="1691" spans="5:5" x14ac:dyDescent="0.25">
      <c r="E1691" t="s">
        <v>149</v>
      </c>
    </row>
    <row r="1692" spans="5:5" x14ac:dyDescent="0.25">
      <c r="E1692" t="s">
        <v>149</v>
      </c>
    </row>
    <row r="1693" spans="5:5" x14ac:dyDescent="0.25">
      <c r="E1693" t="s">
        <v>149</v>
      </c>
    </row>
    <row r="1694" spans="5:5" x14ac:dyDescent="0.25">
      <c r="E1694" t="s">
        <v>149</v>
      </c>
    </row>
    <row r="1695" spans="5:5" x14ac:dyDescent="0.25">
      <c r="E1695" t="s">
        <v>149</v>
      </c>
    </row>
    <row r="1696" spans="5:5" x14ac:dyDescent="0.25">
      <c r="E1696" t="s">
        <v>149</v>
      </c>
    </row>
    <row r="1697" spans="5:5" x14ac:dyDescent="0.25">
      <c r="E1697" t="s">
        <v>149</v>
      </c>
    </row>
    <row r="1698" spans="5:5" x14ac:dyDescent="0.25">
      <c r="E1698" t="s">
        <v>149</v>
      </c>
    </row>
    <row r="1699" spans="5:5" x14ac:dyDescent="0.25">
      <c r="E1699" t="s">
        <v>149</v>
      </c>
    </row>
    <row r="1700" spans="5:5" x14ac:dyDescent="0.25">
      <c r="E1700" t="s">
        <v>149</v>
      </c>
    </row>
    <row r="1701" spans="5:5" x14ac:dyDescent="0.25">
      <c r="E1701" t="s">
        <v>149</v>
      </c>
    </row>
    <row r="1702" spans="5:5" x14ac:dyDescent="0.25">
      <c r="E1702" t="s">
        <v>149</v>
      </c>
    </row>
    <row r="1703" spans="5:5" x14ac:dyDescent="0.25">
      <c r="E1703" t="s">
        <v>149</v>
      </c>
    </row>
    <row r="1704" spans="5:5" x14ac:dyDescent="0.25">
      <c r="E1704" t="s">
        <v>149</v>
      </c>
    </row>
    <row r="1705" spans="5:5" x14ac:dyDescent="0.25">
      <c r="E1705" t="s">
        <v>149</v>
      </c>
    </row>
    <row r="1706" spans="5:5" x14ac:dyDescent="0.25">
      <c r="E1706" t="s">
        <v>149</v>
      </c>
    </row>
    <row r="1707" spans="5:5" x14ac:dyDescent="0.25">
      <c r="E1707" t="s">
        <v>149</v>
      </c>
    </row>
    <row r="1708" spans="5:5" x14ac:dyDescent="0.25">
      <c r="E1708" t="s">
        <v>149</v>
      </c>
    </row>
    <row r="1709" spans="5:5" x14ac:dyDescent="0.25">
      <c r="E1709" t="s">
        <v>149</v>
      </c>
    </row>
    <row r="1710" spans="5:5" x14ac:dyDescent="0.25">
      <c r="E1710" t="s">
        <v>149</v>
      </c>
    </row>
    <row r="1711" spans="5:5" x14ac:dyDescent="0.25">
      <c r="E1711" t="s">
        <v>149</v>
      </c>
    </row>
    <row r="1712" spans="5:5" x14ac:dyDescent="0.25">
      <c r="E1712" t="s">
        <v>149</v>
      </c>
    </row>
    <row r="1713" spans="5:5" x14ac:dyDescent="0.25">
      <c r="E1713" t="s">
        <v>149</v>
      </c>
    </row>
    <row r="1714" spans="5:5" x14ac:dyDescent="0.25">
      <c r="E1714" t="s">
        <v>149</v>
      </c>
    </row>
    <row r="1715" spans="5:5" x14ac:dyDescent="0.25">
      <c r="E1715" t="s">
        <v>149</v>
      </c>
    </row>
    <row r="1716" spans="5:5" x14ac:dyDescent="0.25">
      <c r="E1716" t="s">
        <v>149</v>
      </c>
    </row>
    <row r="1717" spans="5:5" x14ac:dyDescent="0.25">
      <c r="E1717" t="s">
        <v>149</v>
      </c>
    </row>
    <row r="1718" spans="5:5" x14ac:dyDescent="0.25">
      <c r="E1718" t="s">
        <v>149</v>
      </c>
    </row>
    <row r="1719" spans="5:5" x14ac:dyDescent="0.25">
      <c r="E1719" t="s">
        <v>149</v>
      </c>
    </row>
    <row r="1720" spans="5:5" x14ac:dyDescent="0.25">
      <c r="E1720" t="s">
        <v>149</v>
      </c>
    </row>
    <row r="1721" spans="5:5" x14ac:dyDescent="0.25">
      <c r="E1721" t="s">
        <v>149</v>
      </c>
    </row>
    <row r="1722" spans="5:5" x14ac:dyDescent="0.25">
      <c r="E1722" t="s">
        <v>149</v>
      </c>
    </row>
    <row r="1723" spans="5:5" x14ac:dyDescent="0.25">
      <c r="E1723" t="s">
        <v>149</v>
      </c>
    </row>
    <row r="1724" spans="5:5" x14ac:dyDescent="0.25">
      <c r="E1724" t="s">
        <v>149</v>
      </c>
    </row>
    <row r="1725" spans="5:5" x14ac:dyDescent="0.25">
      <c r="E1725" t="s">
        <v>149</v>
      </c>
    </row>
    <row r="1726" spans="5:5" x14ac:dyDescent="0.25">
      <c r="E1726" t="s">
        <v>149</v>
      </c>
    </row>
    <row r="1727" spans="5:5" x14ac:dyDescent="0.25">
      <c r="E1727" t="s">
        <v>149</v>
      </c>
    </row>
    <row r="1728" spans="5:5" x14ac:dyDescent="0.25">
      <c r="E1728" t="s">
        <v>149</v>
      </c>
    </row>
    <row r="1729" spans="5:5" x14ac:dyDescent="0.25">
      <c r="E1729" t="s">
        <v>149</v>
      </c>
    </row>
    <row r="1730" spans="5:5" x14ac:dyDescent="0.25">
      <c r="E1730" t="s">
        <v>149</v>
      </c>
    </row>
    <row r="1731" spans="5:5" x14ac:dyDescent="0.25">
      <c r="E1731" t="s">
        <v>149</v>
      </c>
    </row>
    <row r="1732" spans="5:5" x14ac:dyDescent="0.25">
      <c r="E1732" t="s">
        <v>149</v>
      </c>
    </row>
    <row r="1733" spans="5:5" x14ac:dyDescent="0.25">
      <c r="E1733" t="s">
        <v>149</v>
      </c>
    </row>
    <row r="1734" spans="5:5" x14ac:dyDescent="0.25">
      <c r="E1734" t="s">
        <v>149</v>
      </c>
    </row>
    <row r="1735" spans="5:5" x14ac:dyDescent="0.25">
      <c r="E1735" t="s">
        <v>149</v>
      </c>
    </row>
    <row r="1736" spans="5:5" x14ac:dyDescent="0.25">
      <c r="E1736" t="s">
        <v>149</v>
      </c>
    </row>
    <row r="1737" spans="5:5" x14ac:dyDescent="0.25">
      <c r="E1737" t="s">
        <v>149</v>
      </c>
    </row>
    <row r="1738" spans="5:5" x14ac:dyDescent="0.25">
      <c r="E1738" t="s">
        <v>149</v>
      </c>
    </row>
    <row r="1739" spans="5:5" x14ac:dyDescent="0.25">
      <c r="E1739" t="s">
        <v>149</v>
      </c>
    </row>
    <row r="1740" spans="5:5" x14ac:dyDescent="0.25">
      <c r="E1740" t="s">
        <v>149</v>
      </c>
    </row>
    <row r="1741" spans="5:5" x14ac:dyDescent="0.25">
      <c r="E1741" t="s">
        <v>149</v>
      </c>
    </row>
    <row r="1742" spans="5:5" x14ac:dyDescent="0.25">
      <c r="E1742" t="s">
        <v>149</v>
      </c>
    </row>
    <row r="1743" spans="5:5" x14ac:dyDescent="0.25">
      <c r="E1743" t="s">
        <v>149</v>
      </c>
    </row>
    <row r="1744" spans="5:5" x14ac:dyDescent="0.25">
      <c r="E1744" t="s">
        <v>149</v>
      </c>
    </row>
    <row r="1745" spans="5:5" x14ac:dyDescent="0.25">
      <c r="E1745" t="s">
        <v>149</v>
      </c>
    </row>
    <row r="1746" spans="5:5" x14ac:dyDescent="0.25">
      <c r="E1746" t="s">
        <v>149</v>
      </c>
    </row>
    <row r="1747" spans="5:5" x14ac:dyDescent="0.25">
      <c r="E1747" t="s">
        <v>149</v>
      </c>
    </row>
    <row r="1748" spans="5:5" x14ac:dyDescent="0.25">
      <c r="E1748" t="s">
        <v>149</v>
      </c>
    </row>
    <row r="1749" spans="5:5" x14ac:dyDescent="0.25">
      <c r="E1749" t="s">
        <v>149</v>
      </c>
    </row>
    <row r="1750" spans="5:5" x14ac:dyDescent="0.25">
      <c r="E1750" t="s">
        <v>149</v>
      </c>
    </row>
    <row r="1751" spans="5:5" x14ac:dyDescent="0.25">
      <c r="E1751" t="s">
        <v>149</v>
      </c>
    </row>
    <row r="1752" spans="5:5" x14ac:dyDescent="0.25">
      <c r="E1752" t="s">
        <v>149</v>
      </c>
    </row>
    <row r="1753" spans="5:5" x14ac:dyDescent="0.25">
      <c r="E1753" t="s">
        <v>149</v>
      </c>
    </row>
    <row r="1754" spans="5:5" x14ac:dyDescent="0.25">
      <c r="E1754" t="s">
        <v>149</v>
      </c>
    </row>
    <row r="1755" spans="5:5" x14ac:dyDescent="0.25">
      <c r="E1755" t="s">
        <v>149</v>
      </c>
    </row>
    <row r="1756" spans="5:5" x14ac:dyDescent="0.25">
      <c r="E1756" t="s">
        <v>149</v>
      </c>
    </row>
    <row r="1757" spans="5:5" x14ac:dyDescent="0.25">
      <c r="E1757" t="s">
        <v>149</v>
      </c>
    </row>
    <row r="1758" spans="5:5" x14ac:dyDescent="0.25">
      <c r="E1758" t="s">
        <v>149</v>
      </c>
    </row>
    <row r="1759" spans="5:5" x14ac:dyDescent="0.25">
      <c r="E1759" t="s">
        <v>149</v>
      </c>
    </row>
    <row r="1760" spans="5:5" x14ac:dyDescent="0.25">
      <c r="E1760" t="s">
        <v>149</v>
      </c>
    </row>
    <row r="1761" spans="5:5" x14ac:dyDescent="0.25">
      <c r="E1761" t="s">
        <v>149</v>
      </c>
    </row>
    <row r="1762" spans="5:5" x14ac:dyDescent="0.25">
      <c r="E1762" t="s">
        <v>149</v>
      </c>
    </row>
    <row r="1763" spans="5:5" x14ac:dyDescent="0.25">
      <c r="E1763" t="s">
        <v>149</v>
      </c>
    </row>
    <row r="1764" spans="5:5" x14ac:dyDescent="0.25">
      <c r="E1764" t="s">
        <v>149</v>
      </c>
    </row>
    <row r="1765" spans="5:5" x14ac:dyDescent="0.25">
      <c r="E1765" t="s">
        <v>149</v>
      </c>
    </row>
    <row r="1766" spans="5:5" x14ac:dyDescent="0.25">
      <c r="E1766" t="s">
        <v>149</v>
      </c>
    </row>
    <row r="1767" spans="5:5" x14ac:dyDescent="0.25">
      <c r="E1767" t="s">
        <v>149</v>
      </c>
    </row>
    <row r="1768" spans="5:5" x14ac:dyDescent="0.25">
      <c r="E1768" t="s">
        <v>149</v>
      </c>
    </row>
    <row r="1769" spans="5:5" x14ac:dyDescent="0.25">
      <c r="E1769" t="s">
        <v>149</v>
      </c>
    </row>
    <row r="1770" spans="5:5" x14ac:dyDescent="0.25">
      <c r="E1770" t="s">
        <v>149</v>
      </c>
    </row>
    <row r="1771" spans="5:5" x14ac:dyDescent="0.25">
      <c r="E1771" t="s">
        <v>149</v>
      </c>
    </row>
    <row r="1772" spans="5:5" x14ac:dyDescent="0.25">
      <c r="E1772" t="s">
        <v>149</v>
      </c>
    </row>
    <row r="1773" spans="5:5" x14ac:dyDescent="0.25">
      <c r="E1773" t="s">
        <v>149</v>
      </c>
    </row>
    <row r="1774" spans="5:5" x14ac:dyDescent="0.25">
      <c r="E1774" t="s">
        <v>149</v>
      </c>
    </row>
    <row r="1775" spans="5:5" x14ac:dyDescent="0.25">
      <c r="E1775" t="s">
        <v>149</v>
      </c>
    </row>
    <row r="1776" spans="5:5" x14ac:dyDescent="0.25">
      <c r="E1776" t="s">
        <v>149</v>
      </c>
    </row>
    <row r="1777" spans="5:5" x14ac:dyDescent="0.25">
      <c r="E1777" t="s">
        <v>149</v>
      </c>
    </row>
    <row r="1778" spans="5:5" x14ac:dyDescent="0.25">
      <c r="E1778" t="s">
        <v>149</v>
      </c>
    </row>
    <row r="1779" spans="5:5" x14ac:dyDescent="0.25">
      <c r="E1779" t="s">
        <v>149</v>
      </c>
    </row>
    <row r="1780" spans="5:5" x14ac:dyDescent="0.25">
      <c r="E1780" t="s">
        <v>149</v>
      </c>
    </row>
    <row r="1781" spans="5:5" x14ac:dyDescent="0.25">
      <c r="E1781" t="s">
        <v>149</v>
      </c>
    </row>
    <row r="1782" spans="5:5" x14ac:dyDescent="0.25">
      <c r="E1782" t="s">
        <v>149</v>
      </c>
    </row>
    <row r="1783" spans="5:5" x14ac:dyDescent="0.25">
      <c r="E1783" t="s">
        <v>149</v>
      </c>
    </row>
    <row r="1784" spans="5:5" x14ac:dyDescent="0.25">
      <c r="E1784" t="s">
        <v>149</v>
      </c>
    </row>
    <row r="1785" spans="5:5" x14ac:dyDescent="0.25">
      <c r="E1785" t="s">
        <v>149</v>
      </c>
    </row>
    <row r="1786" spans="5:5" x14ac:dyDescent="0.25">
      <c r="E1786" t="s">
        <v>149</v>
      </c>
    </row>
    <row r="1787" spans="5:5" x14ac:dyDescent="0.25">
      <c r="E1787" t="s">
        <v>149</v>
      </c>
    </row>
    <row r="1788" spans="5:5" x14ac:dyDescent="0.25">
      <c r="E1788" t="s">
        <v>149</v>
      </c>
    </row>
    <row r="1789" spans="5:5" x14ac:dyDescent="0.25">
      <c r="E1789" t="s">
        <v>149</v>
      </c>
    </row>
    <row r="1790" spans="5:5" x14ac:dyDescent="0.25">
      <c r="E1790" t="s">
        <v>149</v>
      </c>
    </row>
    <row r="1791" spans="5:5" x14ac:dyDescent="0.25">
      <c r="E1791" t="s">
        <v>149</v>
      </c>
    </row>
    <row r="1792" spans="5:5" x14ac:dyDescent="0.25">
      <c r="E1792" t="s">
        <v>149</v>
      </c>
    </row>
    <row r="1793" spans="5:5" x14ac:dyDescent="0.25">
      <c r="E1793" t="s">
        <v>149</v>
      </c>
    </row>
    <row r="1794" spans="5:5" x14ac:dyDescent="0.25">
      <c r="E1794" t="s">
        <v>149</v>
      </c>
    </row>
    <row r="1795" spans="5:5" x14ac:dyDescent="0.25">
      <c r="E1795" t="s">
        <v>149</v>
      </c>
    </row>
    <row r="1796" spans="5:5" x14ac:dyDescent="0.25">
      <c r="E1796" t="s">
        <v>149</v>
      </c>
    </row>
    <row r="1797" spans="5:5" x14ac:dyDescent="0.25">
      <c r="E1797" t="s">
        <v>149</v>
      </c>
    </row>
    <row r="1798" spans="5:5" x14ac:dyDescent="0.25">
      <c r="E1798" t="s">
        <v>149</v>
      </c>
    </row>
    <row r="1799" spans="5:5" x14ac:dyDescent="0.25">
      <c r="E1799" t="s">
        <v>149</v>
      </c>
    </row>
    <row r="1800" spans="5:5" x14ac:dyDescent="0.25">
      <c r="E1800" t="s">
        <v>149</v>
      </c>
    </row>
    <row r="1801" spans="5:5" x14ac:dyDescent="0.25">
      <c r="E1801" t="s">
        <v>149</v>
      </c>
    </row>
    <row r="1802" spans="5:5" x14ac:dyDescent="0.25">
      <c r="E1802" t="s">
        <v>149</v>
      </c>
    </row>
    <row r="1803" spans="5:5" x14ac:dyDescent="0.25">
      <c r="E1803" t="s">
        <v>149</v>
      </c>
    </row>
    <row r="1804" spans="5:5" x14ac:dyDescent="0.25">
      <c r="E1804" t="s">
        <v>149</v>
      </c>
    </row>
    <row r="1805" spans="5:5" x14ac:dyDescent="0.25">
      <c r="E1805" t="s">
        <v>149</v>
      </c>
    </row>
    <row r="1806" spans="5:5" x14ac:dyDescent="0.25">
      <c r="E1806" t="s">
        <v>149</v>
      </c>
    </row>
    <row r="1807" spans="5:5" x14ac:dyDescent="0.25">
      <c r="E1807" t="s">
        <v>149</v>
      </c>
    </row>
    <row r="1808" spans="5:5" x14ac:dyDescent="0.25">
      <c r="E1808" t="s">
        <v>149</v>
      </c>
    </row>
    <row r="1809" spans="5:5" x14ac:dyDescent="0.25">
      <c r="E1809" t="s">
        <v>149</v>
      </c>
    </row>
    <row r="1810" spans="5:5" x14ac:dyDescent="0.25">
      <c r="E1810" t="s">
        <v>149</v>
      </c>
    </row>
    <row r="1811" spans="5:5" x14ac:dyDescent="0.25">
      <c r="E1811" t="s">
        <v>149</v>
      </c>
    </row>
    <row r="1812" spans="5:5" x14ac:dyDescent="0.25">
      <c r="E1812" t="s">
        <v>149</v>
      </c>
    </row>
    <row r="1813" spans="5:5" x14ac:dyDescent="0.25">
      <c r="E1813" t="s">
        <v>149</v>
      </c>
    </row>
    <row r="1814" spans="5:5" x14ac:dyDescent="0.25">
      <c r="E1814" t="s">
        <v>149</v>
      </c>
    </row>
    <row r="1815" spans="5:5" x14ac:dyDescent="0.25">
      <c r="E1815" t="s">
        <v>149</v>
      </c>
    </row>
    <row r="1816" spans="5:5" x14ac:dyDescent="0.25">
      <c r="E1816" t="s">
        <v>149</v>
      </c>
    </row>
    <row r="1817" spans="5:5" x14ac:dyDescent="0.25">
      <c r="E1817" t="s">
        <v>149</v>
      </c>
    </row>
    <row r="1818" spans="5:5" x14ac:dyDescent="0.25">
      <c r="E1818" t="s">
        <v>149</v>
      </c>
    </row>
    <row r="1819" spans="5:5" x14ac:dyDescent="0.25">
      <c r="E1819" t="s">
        <v>149</v>
      </c>
    </row>
    <row r="1820" spans="5:5" x14ac:dyDescent="0.25">
      <c r="E1820" t="s">
        <v>149</v>
      </c>
    </row>
    <row r="1821" spans="5:5" x14ac:dyDescent="0.25">
      <c r="E1821" t="s">
        <v>149</v>
      </c>
    </row>
    <row r="1822" spans="5:5" x14ac:dyDescent="0.25">
      <c r="E1822" t="s">
        <v>149</v>
      </c>
    </row>
    <row r="1823" spans="5:5" x14ac:dyDescent="0.25">
      <c r="E1823" t="s">
        <v>149</v>
      </c>
    </row>
    <row r="1824" spans="5:5" x14ac:dyDescent="0.25">
      <c r="E1824" t="s">
        <v>149</v>
      </c>
    </row>
    <row r="1825" spans="5:5" x14ac:dyDescent="0.25">
      <c r="E1825" t="s">
        <v>149</v>
      </c>
    </row>
    <row r="1826" spans="5:5" x14ac:dyDescent="0.25">
      <c r="E1826" t="s">
        <v>149</v>
      </c>
    </row>
    <row r="1827" spans="5:5" x14ac:dyDescent="0.25">
      <c r="E1827" t="s">
        <v>149</v>
      </c>
    </row>
    <row r="1828" spans="5:5" x14ac:dyDescent="0.25">
      <c r="E1828" t="s">
        <v>149</v>
      </c>
    </row>
    <row r="1829" spans="5:5" x14ac:dyDescent="0.25">
      <c r="E1829" t="s">
        <v>149</v>
      </c>
    </row>
    <row r="1830" spans="5:5" x14ac:dyDescent="0.25">
      <c r="E1830" t="s">
        <v>149</v>
      </c>
    </row>
    <row r="1831" spans="5:5" x14ac:dyDescent="0.25">
      <c r="E1831" t="s">
        <v>149</v>
      </c>
    </row>
    <row r="1832" spans="5:5" x14ac:dyDescent="0.25">
      <c r="E1832" t="s">
        <v>149</v>
      </c>
    </row>
    <row r="1833" spans="5:5" x14ac:dyDescent="0.25">
      <c r="E1833" t="s">
        <v>149</v>
      </c>
    </row>
    <row r="1834" spans="5:5" x14ac:dyDescent="0.25">
      <c r="E1834" t="s">
        <v>149</v>
      </c>
    </row>
    <row r="1835" spans="5:5" x14ac:dyDescent="0.25">
      <c r="E1835" t="s">
        <v>149</v>
      </c>
    </row>
    <row r="1836" spans="5:5" x14ac:dyDescent="0.25">
      <c r="E1836" t="s">
        <v>149</v>
      </c>
    </row>
    <row r="1837" spans="5:5" x14ac:dyDescent="0.25">
      <c r="E1837" t="s">
        <v>149</v>
      </c>
    </row>
    <row r="1838" spans="5:5" x14ac:dyDescent="0.25">
      <c r="E1838" t="s">
        <v>149</v>
      </c>
    </row>
    <row r="1839" spans="5:5" x14ac:dyDescent="0.25">
      <c r="E1839" t="s">
        <v>149</v>
      </c>
    </row>
    <row r="1840" spans="5:5" x14ac:dyDescent="0.25">
      <c r="E1840" t="s">
        <v>149</v>
      </c>
    </row>
    <row r="1841" spans="5:5" x14ac:dyDescent="0.25">
      <c r="E1841" t="s">
        <v>149</v>
      </c>
    </row>
    <row r="1842" spans="5:5" x14ac:dyDescent="0.25">
      <c r="E1842" t="s">
        <v>149</v>
      </c>
    </row>
    <row r="1843" spans="5:5" x14ac:dyDescent="0.25">
      <c r="E1843" t="s">
        <v>149</v>
      </c>
    </row>
    <row r="1844" spans="5:5" x14ac:dyDescent="0.25">
      <c r="E1844" t="s">
        <v>149</v>
      </c>
    </row>
    <row r="1845" spans="5:5" x14ac:dyDescent="0.25">
      <c r="E1845" t="s">
        <v>149</v>
      </c>
    </row>
    <row r="1846" spans="5:5" x14ac:dyDescent="0.25">
      <c r="E1846" t="s">
        <v>149</v>
      </c>
    </row>
    <row r="1847" spans="5:5" x14ac:dyDescent="0.25">
      <c r="E1847" t="s">
        <v>149</v>
      </c>
    </row>
    <row r="1848" spans="5:5" x14ac:dyDescent="0.25">
      <c r="E1848" t="s">
        <v>149</v>
      </c>
    </row>
    <row r="1849" spans="5:5" x14ac:dyDescent="0.25">
      <c r="E1849" t="s">
        <v>149</v>
      </c>
    </row>
    <row r="1850" spans="5:5" x14ac:dyDescent="0.25">
      <c r="E1850" t="s">
        <v>149</v>
      </c>
    </row>
    <row r="1851" spans="5:5" x14ac:dyDescent="0.25">
      <c r="E1851" t="s">
        <v>149</v>
      </c>
    </row>
    <row r="1852" spans="5:5" x14ac:dyDescent="0.25">
      <c r="E1852" t="s">
        <v>149</v>
      </c>
    </row>
    <row r="1853" spans="5:5" x14ac:dyDescent="0.25">
      <c r="E1853" t="s">
        <v>149</v>
      </c>
    </row>
    <row r="1854" spans="5:5" x14ac:dyDescent="0.25">
      <c r="E1854" t="s">
        <v>149</v>
      </c>
    </row>
    <row r="1855" spans="5:5" x14ac:dyDescent="0.25">
      <c r="E1855" t="s">
        <v>149</v>
      </c>
    </row>
    <row r="1856" spans="5:5" x14ac:dyDescent="0.25">
      <c r="E1856" t="s">
        <v>149</v>
      </c>
    </row>
    <row r="1857" spans="5:5" x14ac:dyDescent="0.25">
      <c r="E1857" t="s">
        <v>149</v>
      </c>
    </row>
    <row r="1858" spans="5:5" x14ac:dyDescent="0.25">
      <c r="E1858" t="s">
        <v>149</v>
      </c>
    </row>
    <row r="1859" spans="5:5" x14ac:dyDescent="0.25">
      <c r="E1859" t="s">
        <v>149</v>
      </c>
    </row>
    <row r="1860" spans="5:5" x14ac:dyDescent="0.25">
      <c r="E1860" t="s">
        <v>149</v>
      </c>
    </row>
    <row r="1861" spans="5:5" x14ac:dyDescent="0.25">
      <c r="E1861" t="s">
        <v>149</v>
      </c>
    </row>
    <row r="1862" spans="5:5" x14ac:dyDescent="0.25">
      <c r="E1862" t="s">
        <v>149</v>
      </c>
    </row>
    <row r="1863" spans="5:5" x14ac:dyDescent="0.25">
      <c r="E1863" t="s">
        <v>149</v>
      </c>
    </row>
    <row r="1864" spans="5:5" x14ac:dyDescent="0.25">
      <c r="E1864" t="s">
        <v>149</v>
      </c>
    </row>
    <row r="1865" spans="5:5" x14ac:dyDescent="0.25">
      <c r="E1865" t="s">
        <v>149</v>
      </c>
    </row>
    <row r="1866" spans="5:5" x14ac:dyDescent="0.25">
      <c r="E1866" t="s">
        <v>149</v>
      </c>
    </row>
    <row r="1867" spans="5:5" x14ac:dyDescent="0.25">
      <c r="E1867" t="s">
        <v>149</v>
      </c>
    </row>
    <row r="1868" spans="5:5" x14ac:dyDescent="0.25">
      <c r="E1868" t="s">
        <v>149</v>
      </c>
    </row>
    <row r="1869" spans="5:5" x14ac:dyDescent="0.25">
      <c r="E1869" t="s">
        <v>149</v>
      </c>
    </row>
    <row r="1870" spans="5:5" x14ac:dyDescent="0.25">
      <c r="E1870" t="s">
        <v>149</v>
      </c>
    </row>
    <row r="1871" spans="5:5" x14ac:dyDescent="0.25">
      <c r="E1871" t="s">
        <v>149</v>
      </c>
    </row>
    <row r="1872" spans="5:5" x14ac:dyDescent="0.25">
      <c r="E1872" t="s">
        <v>149</v>
      </c>
    </row>
    <row r="1873" spans="5:5" x14ac:dyDescent="0.25">
      <c r="E1873" t="s">
        <v>149</v>
      </c>
    </row>
    <row r="1874" spans="5:5" x14ac:dyDescent="0.25">
      <c r="E1874" t="s">
        <v>149</v>
      </c>
    </row>
    <row r="1875" spans="5:5" x14ac:dyDescent="0.25">
      <c r="E1875" t="s">
        <v>149</v>
      </c>
    </row>
    <row r="1876" spans="5:5" x14ac:dyDescent="0.25">
      <c r="E1876" t="s">
        <v>149</v>
      </c>
    </row>
    <row r="1877" spans="5:5" x14ac:dyDescent="0.25">
      <c r="E1877" t="s">
        <v>149</v>
      </c>
    </row>
    <row r="1878" spans="5:5" x14ac:dyDescent="0.25">
      <c r="E1878" t="s">
        <v>149</v>
      </c>
    </row>
    <row r="1879" spans="5:5" x14ac:dyDescent="0.25">
      <c r="E1879" t="s">
        <v>149</v>
      </c>
    </row>
    <row r="1880" spans="5:5" x14ac:dyDescent="0.25">
      <c r="E1880" t="s">
        <v>149</v>
      </c>
    </row>
    <row r="1881" spans="5:5" x14ac:dyDescent="0.25">
      <c r="E1881" t="s">
        <v>149</v>
      </c>
    </row>
    <row r="1882" spans="5:5" x14ac:dyDescent="0.25">
      <c r="E1882" t="s">
        <v>149</v>
      </c>
    </row>
    <row r="1883" spans="5:5" x14ac:dyDescent="0.25">
      <c r="E1883" t="s">
        <v>149</v>
      </c>
    </row>
    <row r="1884" spans="5:5" x14ac:dyDescent="0.25">
      <c r="E1884" t="s">
        <v>149</v>
      </c>
    </row>
    <row r="1885" spans="5:5" x14ac:dyDescent="0.25">
      <c r="E1885" t="s">
        <v>149</v>
      </c>
    </row>
    <row r="1886" spans="5:5" x14ac:dyDescent="0.25">
      <c r="E1886" t="s">
        <v>149</v>
      </c>
    </row>
    <row r="1887" spans="5:5" x14ac:dyDescent="0.25">
      <c r="E1887" t="s">
        <v>149</v>
      </c>
    </row>
    <row r="1888" spans="5:5" x14ac:dyDescent="0.25">
      <c r="E1888" t="s">
        <v>149</v>
      </c>
    </row>
    <row r="1889" spans="5:5" x14ac:dyDescent="0.25">
      <c r="E1889" t="s">
        <v>149</v>
      </c>
    </row>
    <row r="1890" spans="5:5" x14ac:dyDescent="0.25">
      <c r="E1890" t="s">
        <v>149</v>
      </c>
    </row>
    <row r="1891" spans="5:5" x14ac:dyDescent="0.25">
      <c r="E1891" t="s">
        <v>149</v>
      </c>
    </row>
    <row r="1892" spans="5:5" x14ac:dyDescent="0.25">
      <c r="E1892" t="s">
        <v>149</v>
      </c>
    </row>
    <row r="1893" spans="5:5" x14ac:dyDescent="0.25">
      <c r="E1893" t="s">
        <v>149</v>
      </c>
    </row>
    <row r="1894" spans="5:5" x14ac:dyDescent="0.25">
      <c r="E1894" t="s">
        <v>149</v>
      </c>
    </row>
    <row r="1895" spans="5:5" x14ac:dyDescent="0.25">
      <c r="E1895" t="s">
        <v>149</v>
      </c>
    </row>
    <row r="1896" spans="5:5" x14ac:dyDescent="0.25">
      <c r="E1896" t="s">
        <v>149</v>
      </c>
    </row>
    <row r="1897" spans="5:5" x14ac:dyDescent="0.25">
      <c r="E1897" t="s">
        <v>149</v>
      </c>
    </row>
    <row r="1898" spans="5:5" x14ac:dyDescent="0.25">
      <c r="E1898" t="s">
        <v>149</v>
      </c>
    </row>
    <row r="1899" spans="5:5" x14ac:dyDescent="0.25">
      <c r="E1899" t="s">
        <v>149</v>
      </c>
    </row>
    <row r="1900" spans="5:5" x14ac:dyDescent="0.25">
      <c r="E1900" t="s">
        <v>149</v>
      </c>
    </row>
    <row r="1901" spans="5:5" x14ac:dyDescent="0.25">
      <c r="E1901" t="s">
        <v>149</v>
      </c>
    </row>
    <row r="1902" spans="5:5" x14ac:dyDescent="0.25">
      <c r="E1902" t="s">
        <v>149</v>
      </c>
    </row>
    <row r="1903" spans="5:5" x14ac:dyDescent="0.25">
      <c r="E1903" t="s">
        <v>149</v>
      </c>
    </row>
    <row r="1904" spans="5:5" x14ac:dyDescent="0.25">
      <c r="E1904" t="s">
        <v>149</v>
      </c>
    </row>
    <row r="1905" spans="5:5" x14ac:dyDescent="0.25">
      <c r="E1905" t="s">
        <v>149</v>
      </c>
    </row>
    <row r="1906" spans="5:5" x14ac:dyDescent="0.25">
      <c r="E1906" t="s">
        <v>149</v>
      </c>
    </row>
    <row r="1907" spans="5:5" x14ac:dyDescent="0.25">
      <c r="E1907" t="s">
        <v>149</v>
      </c>
    </row>
    <row r="1908" spans="5:5" x14ac:dyDescent="0.25">
      <c r="E1908" t="s">
        <v>149</v>
      </c>
    </row>
    <row r="1909" spans="5:5" x14ac:dyDescent="0.25">
      <c r="E1909" t="s">
        <v>149</v>
      </c>
    </row>
    <row r="1910" spans="5:5" x14ac:dyDescent="0.25">
      <c r="E1910" t="s">
        <v>149</v>
      </c>
    </row>
    <row r="1911" spans="5:5" x14ac:dyDescent="0.25">
      <c r="E1911" t="s">
        <v>149</v>
      </c>
    </row>
    <row r="1912" spans="5:5" x14ac:dyDescent="0.25">
      <c r="E1912" t="s">
        <v>149</v>
      </c>
    </row>
    <row r="1913" spans="5:5" x14ac:dyDescent="0.25">
      <c r="E1913" t="s">
        <v>149</v>
      </c>
    </row>
    <row r="1914" spans="5:5" x14ac:dyDescent="0.25">
      <c r="E1914" t="s">
        <v>149</v>
      </c>
    </row>
    <row r="1915" spans="5:5" x14ac:dyDescent="0.25">
      <c r="E1915" t="s">
        <v>149</v>
      </c>
    </row>
    <row r="1916" spans="5:5" x14ac:dyDescent="0.25">
      <c r="E1916" t="s">
        <v>149</v>
      </c>
    </row>
    <row r="1917" spans="5:5" x14ac:dyDescent="0.25">
      <c r="E1917" t="s">
        <v>149</v>
      </c>
    </row>
    <row r="1918" spans="5:5" x14ac:dyDescent="0.25">
      <c r="E1918" t="s">
        <v>149</v>
      </c>
    </row>
    <row r="1919" spans="5:5" x14ac:dyDescent="0.25">
      <c r="E1919" t="s">
        <v>149</v>
      </c>
    </row>
    <row r="1920" spans="5:5" x14ac:dyDescent="0.25">
      <c r="E1920" t="s">
        <v>149</v>
      </c>
    </row>
    <row r="1921" spans="5:5" x14ac:dyDescent="0.25">
      <c r="E1921" t="s">
        <v>149</v>
      </c>
    </row>
    <row r="1922" spans="5:5" x14ac:dyDescent="0.25">
      <c r="E1922" t="s">
        <v>149</v>
      </c>
    </row>
    <row r="1923" spans="5:5" x14ac:dyDescent="0.25">
      <c r="E1923" t="s">
        <v>149</v>
      </c>
    </row>
    <row r="1924" spans="5:5" x14ac:dyDescent="0.25">
      <c r="E1924" t="s">
        <v>149</v>
      </c>
    </row>
    <row r="1925" spans="5:5" x14ac:dyDescent="0.25">
      <c r="E1925" t="s">
        <v>149</v>
      </c>
    </row>
    <row r="1926" spans="5:5" x14ac:dyDescent="0.25">
      <c r="E1926" t="s">
        <v>149</v>
      </c>
    </row>
    <row r="1927" spans="5:5" x14ac:dyDescent="0.25">
      <c r="E1927" t="s">
        <v>149</v>
      </c>
    </row>
    <row r="1928" spans="5:5" x14ac:dyDescent="0.25">
      <c r="E1928" t="s">
        <v>149</v>
      </c>
    </row>
    <row r="1929" spans="5:5" x14ac:dyDescent="0.25">
      <c r="E1929" t="s">
        <v>149</v>
      </c>
    </row>
    <row r="1930" spans="5:5" x14ac:dyDescent="0.25">
      <c r="E1930" t="s">
        <v>149</v>
      </c>
    </row>
    <row r="1931" spans="5:5" x14ac:dyDescent="0.25">
      <c r="E1931" t="s">
        <v>149</v>
      </c>
    </row>
    <row r="1932" spans="5:5" x14ac:dyDescent="0.25">
      <c r="E1932" t="s">
        <v>149</v>
      </c>
    </row>
    <row r="1933" spans="5:5" x14ac:dyDescent="0.25">
      <c r="E1933" t="s">
        <v>149</v>
      </c>
    </row>
    <row r="1934" spans="5:5" x14ac:dyDescent="0.25">
      <c r="E1934" t="s">
        <v>149</v>
      </c>
    </row>
    <row r="1935" spans="5:5" x14ac:dyDescent="0.25">
      <c r="E1935" t="s">
        <v>149</v>
      </c>
    </row>
    <row r="1936" spans="5:5" x14ac:dyDescent="0.25">
      <c r="E1936" t="s">
        <v>149</v>
      </c>
    </row>
    <row r="1937" spans="5:5" x14ac:dyDescent="0.25">
      <c r="E1937" t="s">
        <v>149</v>
      </c>
    </row>
    <row r="1938" spans="5:5" x14ac:dyDescent="0.25">
      <c r="E1938" t="s">
        <v>149</v>
      </c>
    </row>
    <row r="1939" spans="5:5" x14ac:dyDescent="0.25">
      <c r="E1939" t="s">
        <v>149</v>
      </c>
    </row>
    <row r="1940" spans="5:5" x14ac:dyDescent="0.25">
      <c r="E1940" t="s">
        <v>149</v>
      </c>
    </row>
    <row r="1941" spans="5:5" x14ac:dyDescent="0.25">
      <c r="E1941" t="s">
        <v>149</v>
      </c>
    </row>
    <row r="1942" spans="5:5" x14ac:dyDescent="0.25">
      <c r="E1942" t="s">
        <v>149</v>
      </c>
    </row>
    <row r="1943" spans="5:5" x14ac:dyDescent="0.25">
      <c r="E1943" t="s">
        <v>149</v>
      </c>
    </row>
    <row r="1944" spans="5:5" x14ac:dyDescent="0.25">
      <c r="E1944" t="s">
        <v>149</v>
      </c>
    </row>
    <row r="1945" spans="5:5" x14ac:dyDescent="0.25">
      <c r="E1945" t="s">
        <v>149</v>
      </c>
    </row>
    <row r="1946" spans="5:5" x14ac:dyDescent="0.25">
      <c r="E1946" t="s">
        <v>149</v>
      </c>
    </row>
    <row r="1947" spans="5:5" x14ac:dyDescent="0.25">
      <c r="E1947" t="s">
        <v>149</v>
      </c>
    </row>
    <row r="1948" spans="5:5" x14ac:dyDescent="0.25">
      <c r="E1948" t="s">
        <v>149</v>
      </c>
    </row>
    <row r="1949" spans="5:5" x14ac:dyDescent="0.25">
      <c r="E1949" t="s">
        <v>149</v>
      </c>
    </row>
    <row r="1950" spans="5:5" x14ac:dyDescent="0.25">
      <c r="E1950" t="s">
        <v>149</v>
      </c>
    </row>
    <row r="1951" spans="5:5" x14ac:dyDescent="0.25">
      <c r="E1951" t="s">
        <v>149</v>
      </c>
    </row>
    <row r="1952" spans="5:5" x14ac:dyDescent="0.25">
      <c r="E1952" t="s">
        <v>149</v>
      </c>
    </row>
    <row r="1953" spans="5:5" x14ac:dyDescent="0.25">
      <c r="E1953" t="s">
        <v>149</v>
      </c>
    </row>
    <row r="1954" spans="5:5" x14ac:dyDescent="0.25">
      <c r="E1954" t="s">
        <v>149</v>
      </c>
    </row>
    <row r="1955" spans="5:5" x14ac:dyDescent="0.25">
      <c r="E1955" t="s">
        <v>149</v>
      </c>
    </row>
    <row r="1956" spans="5:5" x14ac:dyDescent="0.25">
      <c r="E1956" t="s">
        <v>149</v>
      </c>
    </row>
    <row r="1957" spans="5:5" x14ac:dyDescent="0.25">
      <c r="E1957" t="s">
        <v>149</v>
      </c>
    </row>
    <row r="1958" spans="5:5" x14ac:dyDescent="0.25">
      <c r="E1958" t="s">
        <v>149</v>
      </c>
    </row>
    <row r="1959" spans="5:5" x14ac:dyDescent="0.25">
      <c r="E1959" t="s">
        <v>149</v>
      </c>
    </row>
    <row r="1960" spans="5:5" x14ac:dyDescent="0.25">
      <c r="E1960" t="s">
        <v>149</v>
      </c>
    </row>
    <row r="1961" spans="5:5" x14ac:dyDescent="0.25">
      <c r="E1961" t="s">
        <v>149</v>
      </c>
    </row>
    <row r="1962" spans="5:5" x14ac:dyDescent="0.25">
      <c r="E1962" t="s">
        <v>149</v>
      </c>
    </row>
    <row r="1963" spans="5:5" x14ac:dyDescent="0.25">
      <c r="E1963" t="s">
        <v>149</v>
      </c>
    </row>
    <row r="1964" spans="5:5" x14ac:dyDescent="0.25">
      <c r="E1964" t="s">
        <v>149</v>
      </c>
    </row>
    <row r="1965" spans="5:5" x14ac:dyDescent="0.25">
      <c r="E1965" t="s">
        <v>149</v>
      </c>
    </row>
    <row r="1966" spans="5:5" x14ac:dyDescent="0.25">
      <c r="E1966" t="s">
        <v>149</v>
      </c>
    </row>
    <row r="1967" spans="5:5" x14ac:dyDescent="0.25">
      <c r="E1967" t="s">
        <v>149</v>
      </c>
    </row>
    <row r="1968" spans="5:5" x14ac:dyDescent="0.25">
      <c r="E1968" t="s">
        <v>149</v>
      </c>
    </row>
    <row r="1969" spans="5:5" x14ac:dyDescent="0.25">
      <c r="E1969" t="s">
        <v>149</v>
      </c>
    </row>
    <row r="1970" spans="5:5" x14ac:dyDescent="0.25">
      <c r="E1970" t="s">
        <v>149</v>
      </c>
    </row>
    <row r="1971" spans="5:5" x14ac:dyDescent="0.25">
      <c r="E1971" t="s">
        <v>149</v>
      </c>
    </row>
    <row r="1972" spans="5:5" x14ac:dyDescent="0.25">
      <c r="E1972" t="s">
        <v>149</v>
      </c>
    </row>
    <row r="1973" spans="5:5" x14ac:dyDescent="0.25">
      <c r="E1973" t="s">
        <v>149</v>
      </c>
    </row>
    <row r="1974" spans="5:5" x14ac:dyDescent="0.25">
      <c r="E1974" t="s">
        <v>149</v>
      </c>
    </row>
    <row r="1975" spans="5:5" x14ac:dyDescent="0.25">
      <c r="E1975" t="s">
        <v>149</v>
      </c>
    </row>
    <row r="1976" spans="5:5" x14ac:dyDescent="0.25">
      <c r="E1976" t="s">
        <v>149</v>
      </c>
    </row>
    <row r="1977" spans="5:5" x14ac:dyDescent="0.25">
      <c r="E1977" t="s">
        <v>149</v>
      </c>
    </row>
    <row r="1978" spans="5:5" x14ac:dyDescent="0.25">
      <c r="E1978" t="s">
        <v>149</v>
      </c>
    </row>
    <row r="1979" spans="5:5" x14ac:dyDescent="0.25">
      <c r="E1979" t="s">
        <v>149</v>
      </c>
    </row>
    <row r="1980" spans="5:5" x14ac:dyDescent="0.25">
      <c r="E1980" t="s">
        <v>149</v>
      </c>
    </row>
    <row r="1981" spans="5:5" x14ac:dyDescent="0.25">
      <c r="E1981" t="s">
        <v>149</v>
      </c>
    </row>
    <row r="1982" spans="5:5" x14ac:dyDescent="0.25">
      <c r="E1982" t="s">
        <v>149</v>
      </c>
    </row>
    <row r="1983" spans="5:5" x14ac:dyDescent="0.25">
      <c r="E1983" t="s">
        <v>149</v>
      </c>
    </row>
    <row r="1984" spans="5:5" x14ac:dyDescent="0.25">
      <c r="E1984" t="s">
        <v>149</v>
      </c>
    </row>
    <row r="1985" spans="5:5" x14ac:dyDescent="0.25">
      <c r="E1985" t="s">
        <v>149</v>
      </c>
    </row>
    <row r="1986" spans="5:5" x14ac:dyDescent="0.25">
      <c r="E1986" t="s">
        <v>149</v>
      </c>
    </row>
    <row r="1987" spans="5:5" x14ac:dyDescent="0.25">
      <c r="E1987" t="s">
        <v>149</v>
      </c>
    </row>
    <row r="1988" spans="5:5" x14ac:dyDescent="0.25">
      <c r="E1988" t="s">
        <v>149</v>
      </c>
    </row>
    <row r="1989" spans="5:5" x14ac:dyDescent="0.25">
      <c r="E1989" t="s">
        <v>149</v>
      </c>
    </row>
    <row r="1990" spans="5:5" x14ac:dyDescent="0.25">
      <c r="E1990" t="s">
        <v>149</v>
      </c>
    </row>
    <row r="1991" spans="5:5" x14ac:dyDescent="0.25">
      <c r="E1991" t="s">
        <v>149</v>
      </c>
    </row>
    <row r="1992" spans="5:5" x14ac:dyDescent="0.25">
      <c r="E1992" t="s">
        <v>149</v>
      </c>
    </row>
    <row r="1993" spans="5:5" x14ac:dyDescent="0.25">
      <c r="E1993" t="s">
        <v>149</v>
      </c>
    </row>
    <row r="1994" spans="5:5" x14ac:dyDescent="0.25">
      <c r="E1994" t="s">
        <v>149</v>
      </c>
    </row>
    <row r="1995" spans="5:5" x14ac:dyDescent="0.25">
      <c r="E1995" t="s">
        <v>149</v>
      </c>
    </row>
    <row r="1996" spans="5:5" x14ac:dyDescent="0.25">
      <c r="E1996" t="s">
        <v>149</v>
      </c>
    </row>
    <row r="1997" spans="5:5" x14ac:dyDescent="0.25">
      <c r="E1997" t="s">
        <v>149</v>
      </c>
    </row>
    <row r="1998" spans="5:5" x14ac:dyDescent="0.25">
      <c r="E1998" t="s">
        <v>149</v>
      </c>
    </row>
    <row r="1999" spans="5:5" x14ac:dyDescent="0.25">
      <c r="E1999" t="s">
        <v>149</v>
      </c>
    </row>
    <row r="2000" spans="5:5" x14ac:dyDescent="0.25">
      <c r="E2000" t="s">
        <v>149</v>
      </c>
    </row>
    <row r="2001" spans="5:5" x14ac:dyDescent="0.25">
      <c r="E2001" t="s">
        <v>149</v>
      </c>
    </row>
    <row r="2002" spans="5:5" x14ac:dyDescent="0.25">
      <c r="E2002" t="s">
        <v>149</v>
      </c>
    </row>
    <row r="2003" spans="5:5" x14ac:dyDescent="0.25">
      <c r="E2003" t="s">
        <v>149</v>
      </c>
    </row>
    <row r="2004" spans="5:5" x14ac:dyDescent="0.25">
      <c r="E2004" t="s">
        <v>149</v>
      </c>
    </row>
    <row r="2005" spans="5:5" x14ac:dyDescent="0.25">
      <c r="E2005" t="s">
        <v>149</v>
      </c>
    </row>
    <row r="2006" spans="5:5" x14ac:dyDescent="0.25">
      <c r="E2006" t="s">
        <v>149</v>
      </c>
    </row>
    <row r="2007" spans="5:5" x14ac:dyDescent="0.25">
      <c r="E2007" t="s">
        <v>149</v>
      </c>
    </row>
    <row r="2008" spans="5:5" x14ac:dyDescent="0.25">
      <c r="E2008" t="s">
        <v>149</v>
      </c>
    </row>
    <row r="2009" spans="5:5" x14ac:dyDescent="0.25">
      <c r="E2009" t="s">
        <v>149</v>
      </c>
    </row>
    <row r="2010" spans="5:5" x14ac:dyDescent="0.25">
      <c r="E2010" t="s">
        <v>149</v>
      </c>
    </row>
    <row r="2011" spans="5:5" x14ac:dyDescent="0.25">
      <c r="E2011" t="s">
        <v>149</v>
      </c>
    </row>
    <row r="2012" spans="5:5" x14ac:dyDescent="0.25">
      <c r="E2012" t="s">
        <v>149</v>
      </c>
    </row>
    <row r="2013" spans="5:5" x14ac:dyDescent="0.25">
      <c r="E2013" t="s">
        <v>149</v>
      </c>
    </row>
    <row r="2014" spans="5:5" x14ac:dyDescent="0.25">
      <c r="E2014" t="s">
        <v>149</v>
      </c>
    </row>
    <row r="2015" spans="5:5" x14ac:dyDescent="0.25">
      <c r="E2015" t="s">
        <v>149</v>
      </c>
    </row>
    <row r="2016" spans="5:5" x14ac:dyDescent="0.25">
      <c r="E2016" t="s">
        <v>149</v>
      </c>
    </row>
    <row r="2017" spans="5:5" x14ac:dyDescent="0.25">
      <c r="E2017" t="s">
        <v>149</v>
      </c>
    </row>
    <row r="2018" spans="5:5" x14ac:dyDescent="0.25">
      <c r="E2018" t="s">
        <v>149</v>
      </c>
    </row>
    <row r="2019" spans="5:5" x14ac:dyDescent="0.25">
      <c r="E2019" t="s">
        <v>149</v>
      </c>
    </row>
    <row r="2020" spans="5:5" x14ac:dyDescent="0.25">
      <c r="E2020" t="s">
        <v>149</v>
      </c>
    </row>
    <row r="2021" spans="5:5" x14ac:dyDescent="0.25">
      <c r="E2021" t="s">
        <v>149</v>
      </c>
    </row>
    <row r="2022" spans="5:5" x14ac:dyDescent="0.25">
      <c r="E2022" t="s">
        <v>149</v>
      </c>
    </row>
    <row r="2023" spans="5:5" x14ac:dyDescent="0.25">
      <c r="E2023" t="s">
        <v>149</v>
      </c>
    </row>
    <row r="2024" spans="5:5" x14ac:dyDescent="0.25">
      <c r="E2024" t="s">
        <v>149</v>
      </c>
    </row>
    <row r="2025" spans="5:5" x14ac:dyDescent="0.25">
      <c r="E2025" t="s">
        <v>149</v>
      </c>
    </row>
    <row r="2026" spans="5:5" x14ac:dyDescent="0.25">
      <c r="E2026" t="s">
        <v>149</v>
      </c>
    </row>
    <row r="2027" spans="5:5" x14ac:dyDescent="0.25">
      <c r="E2027" t="s">
        <v>149</v>
      </c>
    </row>
    <row r="2028" spans="5:5" x14ac:dyDescent="0.25">
      <c r="E2028" t="s">
        <v>149</v>
      </c>
    </row>
    <row r="2029" spans="5:5" x14ac:dyDescent="0.25">
      <c r="E2029" t="s">
        <v>149</v>
      </c>
    </row>
    <row r="2030" spans="5:5" x14ac:dyDescent="0.25">
      <c r="E2030" t="s">
        <v>149</v>
      </c>
    </row>
    <row r="2031" spans="5:5" x14ac:dyDescent="0.25">
      <c r="E2031" t="s">
        <v>149</v>
      </c>
    </row>
    <row r="2032" spans="5:5" x14ac:dyDescent="0.25">
      <c r="E2032" t="s">
        <v>149</v>
      </c>
    </row>
    <row r="2033" spans="5:5" x14ac:dyDescent="0.25">
      <c r="E2033" t="s">
        <v>149</v>
      </c>
    </row>
    <row r="2034" spans="5:5" x14ac:dyDescent="0.25">
      <c r="E2034" t="s">
        <v>149</v>
      </c>
    </row>
    <row r="2035" spans="5:5" x14ac:dyDescent="0.25">
      <c r="E2035" t="s">
        <v>149</v>
      </c>
    </row>
    <row r="2036" spans="5:5" x14ac:dyDescent="0.25">
      <c r="E2036" t="s">
        <v>149</v>
      </c>
    </row>
    <row r="2037" spans="5:5" x14ac:dyDescent="0.25">
      <c r="E2037" t="s">
        <v>149</v>
      </c>
    </row>
    <row r="2038" spans="5:5" x14ac:dyDescent="0.25">
      <c r="E2038" t="s">
        <v>149</v>
      </c>
    </row>
    <row r="2039" spans="5:5" x14ac:dyDescent="0.25">
      <c r="E2039" t="s">
        <v>149</v>
      </c>
    </row>
    <row r="2040" spans="5:5" x14ac:dyDescent="0.25">
      <c r="E2040" t="s">
        <v>149</v>
      </c>
    </row>
    <row r="2041" spans="5:5" x14ac:dyDescent="0.25">
      <c r="E2041" t="s">
        <v>149</v>
      </c>
    </row>
    <row r="2042" spans="5:5" x14ac:dyDescent="0.25">
      <c r="E2042" t="s">
        <v>149</v>
      </c>
    </row>
    <row r="2043" spans="5:5" x14ac:dyDescent="0.25">
      <c r="E2043" t="s">
        <v>149</v>
      </c>
    </row>
    <row r="2044" spans="5:5" x14ac:dyDescent="0.25">
      <c r="E2044" t="s">
        <v>149</v>
      </c>
    </row>
    <row r="2045" spans="5:5" x14ac:dyDescent="0.25">
      <c r="E2045" t="s">
        <v>149</v>
      </c>
    </row>
    <row r="2046" spans="5:5" x14ac:dyDescent="0.25">
      <c r="E2046" t="s">
        <v>149</v>
      </c>
    </row>
    <row r="2047" spans="5:5" x14ac:dyDescent="0.25">
      <c r="E2047" t="s">
        <v>149</v>
      </c>
    </row>
    <row r="2048" spans="5:5" x14ac:dyDescent="0.25">
      <c r="E2048" t="s">
        <v>149</v>
      </c>
    </row>
    <row r="2049" spans="5:5" x14ac:dyDescent="0.25">
      <c r="E2049" t="s">
        <v>149</v>
      </c>
    </row>
    <row r="2050" spans="5:5" x14ac:dyDescent="0.25">
      <c r="E2050" t="s">
        <v>149</v>
      </c>
    </row>
    <row r="2051" spans="5:5" x14ac:dyDescent="0.25">
      <c r="E2051" t="s">
        <v>149</v>
      </c>
    </row>
    <row r="2052" spans="5:5" x14ac:dyDescent="0.25">
      <c r="E2052" t="s">
        <v>149</v>
      </c>
    </row>
    <row r="2053" spans="5:5" x14ac:dyDescent="0.25">
      <c r="E2053" t="s">
        <v>149</v>
      </c>
    </row>
    <row r="2054" spans="5:5" x14ac:dyDescent="0.25">
      <c r="E2054" t="s">
        <v>149</v>
      </c>
    </row>
    <row r="2055" spans="5:5" x14ac:dyDescent="0.25">
      <c r="E2055" t="s">
        <v>149</v>
      </c>
    </row>
    <row r="2056" spans="5:5" x14ac:dyDescent="0.25">
      <c r="E2056" t="s">
        <v>149</v>
      </c>
    </row>
    <row r="2057" spans="5:5" x14ac:dyDescent="0.25">
      <c r="E2057" t="s">
        <v>149</v>
      </c>
    </row>
    <row r="2058" spans="5:5" x14ac:dyDescent="0.25">
      <c r="E2058" t="s">
        <v>149</v>
      </c>
    </row>
    <row r="2059" spans="5:5" x14ac:dyDescent="0.25">
      <c r="E2059" t="s">
        <v>149</v>
      </c>
    </row>
    <row r="2060" spans="5:5" x14ac:dyDescent="0.25">
      <c r="E2060" t="s">
        <v>149</v>
      </c>
    </row>
    <row r="2061" spans="5:5" x14ac:dyDescent="0.25">
      <c r="E2061" t="s">
        <v>149</v>
      </c>
    </row>
    <row r="2062" spans="5:5" x14ac:dyDescent="0.25">
      <c r="E2062" t="s">
        <v>149</v>
      </c>
    </row>
    <row r="2063" spans="5:5" x14ac:dyDescent="0.25">
      <c r="E2063" t="s">
        <v>149</v>
      </c>
    </row>
    <row r="2064" spans="5:5" x14ac:dyDescent="0.25">
      <c r="E2064" t="s">
        <v>149</v>
      </c>
    </row>
    <row r="2065" spans="5:5" x14ac:dyDescent="0.25">
      <c r="E2065" t="s">
        <v>149</v>
      </c>
    </row>
    <row r="2066" spans="5:5" x14ac:dyDescent="0.25">
      <c r="E2066" t="s">
        <v>149</v>
      </c>
    </row>
    <row r="2067" spans="5:5" x14ac:dyDescent="0.25">
      <c r="E2067" t="s">
        <v>149</v>
      </c>
    </row>
    <row r="2068" spans="5:5" x14ac:dyDescent="0.25">
      <c r="E2068" t="s">
        <v>149</v>
      </c>
    </row>
    <row r="2069" spans="5:5" x14ac:dyDescent="0.25">
      <c r="E2069" t="s">
        <v>149</v>
      </c>
    </row>
    <row r="2070" spans="5:5" x14ac:dyDescent="0.25">
      <c r="E2070" t="s">
        <v>149</v>
      </c>
    </row>
    <row r="2071" spans="5:5" x14ac:dyDescent="0.25">
      <c r="E2071" t="s">
        <v>149</v>
      </c>
    </row>
    <row r="2072" spans="5:5" x14ac:dyDescent="0.25">
      <c r="E2072" t="s">
        <v>149</v>
      </c>
    </row>
    <row r="2073" spans="5:5" x14ac:dyDescent="0.25">
      <c r="E2073" t="s">
        <v>149</v>
      </c>
    </row>
    <row r="2074" spans="5:5" x14ac:dyDescent="0.25">
      <c r="E2074" t="s">
        <v>149</v>
      </c>
    </row>
    <row r="2075" spans="5:5" x14ac:dyDescent="0.25">
      <c r="E2075" t="s">
        <v>149</v>
      </c>
    </row>
    <row r="2076" spans="5:5" x14ac:dyDescent="0.25">
      <c r="E2076" t="s">
        <v>149</v>
      </c>
    </row>
    <row r="2077" spans="5:5" x14ac:dyDescent="0.25">
      <c r="E2077" t="s">
        <v>149</v>
      </c>
    </row>
    <row r="2078" spans="5:5" x14ac:dyDescent="0.25">
      <c r="E2078" t="s">
        <v>149</v>
      </c>
    </row>
    <row r="2079" spans="5:5" x14ac:dyDescent="0.25">
      <c r="E2079" t="s">
        <v>149</v>
      </c>
    </row>
    <row r="2080" spans="5:5" x14ac:dyDescent="0.25">
      <c r="E2080" t="s">
        <v>149</v>
      </c>
    </row>
    <row r="2081" spans="5:5" x14ac:dyDescent="0.25">
      <c r="E2081" t="s">
        <v>149</v>
      </c>
    </row>
    <row r="2082" spans="5:5" x14ac:dyDescent="0.25">
      <c r="E2082" t="s">
        <v>149</v>
      </c>
    </row>
    <row r="2083" spans="5:5" x14ac:dyDescent="0.25">
      <c r="E2083" t="s">
        <v>149</v>
      </c>
    </row>
    <row r="2084" spans="5:5" x14ac:dyDescent="0.25">
      <c r="E2084" t="s">
        <v>149</v>
      </c>
    </row>
    <row r="2085" spans="5:5" x14ac:dyDescent="0.25">
      <c r="E2085" t="s">
        <v>149</v>
      </c>
    </row>
    <row r="2086" spans="5:5" x14ac:dyDescent="0.25">
      <c r="E2086" t="s">
        <v>149</v>
      </c>
    </row>
    <row r="2087" spans="5:5" x14ac:dyDescent="0.25">
      <c r="E2087" t="s">
        <v>149</v>
      </c>
    </row>
    <row r="2088" spans="5:5" x14ac:dyDescent="0.25">
      <c r="E2088" t="s">
        <v>149</v>
      </c>
    </row>
    <row r="2089" spans="5:5" x14ac:dyDescent="0.25">
      <c r="E2089" t="s">
        <v>149</v>
      </c>
    </row>
    <row r="2090" spans="5:5" x14ac:dyDescent="0.25">
      <c r="E2090" t="s">
        <v>149</v>
      </c>
    </row>
    <row r="2091" spans="5:5" x14ac:dyDescent="0.25">
      <c r="E2091" t="s">
        <v>149</v>
      </c>
    </row>
    <row r="2092" spans="5:5" x14ac:dyDescent="0.25">
      <c r="E2092" t="s">
        <v>149</v>
      </c>
    </row>
    <row r="2093" spans="5:5" x14ac:dyDescent="0.25">
      <c r="E2093" t="s">
        <v>149</v>
      </c>
    </row>
    <row r="2094" spans="5:5" x14ac:dyDescent="0.25">
      <c r="E2094" t="s">
        <v>149</v>
      </c>
    </row>
    <row r="2095" spans="5:5" x14ac:dyDescent="0.25">
      <c r="E2095" t="s">
        <v>149</v>
      </c>
    </row>
    <row r="2096" spans="5:5" x14ac:dyDescent="0.25">
      <c r="E2096" t="s">
        <v>149</v>
      </c>
    </row>
    <row r="2097" spans="5:5" x14ac:dyDescent="0.25">
      <c r="E2097" t="s">
        <v>149</v>
      </c>
    </row>
    <row r="2098" spans="5:5" x14ac:dyDescent="0.25">
      <c r="E2098" t="s">
        <v>149</v>
      </c>
    </row>
    <row r="2099" spans="5:5" x14ac:dyDescent="0.25">
      <c r="E2099" t="s">
        <v>149</v>
      </c>
    </row>
    <row r="2100" spans="5:5" x14ac:dyDescent="0.25">
      <c r="E2100" t="s">
        <v>149</v>
      </c>
    </row>
    <row r="2101" spans="5:5" x14ac:dyDescent="0.25">
      <c r="E2101" t="s">
        <v>149</v>
      </c>
    </row>
    <row r="2102" spans="5:5" x14ac:dyDescent="0.25">
      <c r="E2102" t="s">
        <v>149</v>
      </c>
    </row>
    <row r="2103" spans="5:5" x14ac:dyDescent="0.25">
      <c r="E2103" t="s">
        <v>149</v>
      </c>
    </row>
    <row r="2104" spans="5:5" x14ac:dyDescent="0.25">
      <c r="E2104" t="s">
        <v>149</v>
      </c>
    </row>
    <row r="2105" spans="5:5" x14ac:dyDescent="0.25">
      <c r="E2105" t="s">
        <v>149</v>
      </c>
    </row>
    <row r="2106" spans="5:5" x14ac:dyDescent="0.25">
      <c r="E2106" t="s">
        <v>149</v>
      </c>
    </row>
    <row r="2107" spans="5:5" x14ac:dyDescent="0.25">
      <c r="E2107" t="s">
        <v>149</v>
      </c>
    </row>
    <row r="2108" spans="5:5" x14ac:dyDescent="0.25">
      <c r="E2108" t="s">
        <v>149</v>
      </c>
    </row>
    <row r="2109" spans="5:5" x14ac:dyDescent="0.25">
      <c r="E2109" t="s">
        <v>149</v>
      </c>
    </row>
    <row r="2110" spans="5:5" x14ac:dyDescent="0.25">
      <c r="E2110" t="s">
        <v>149</v>
      </c>
    </row>
    <row r="2111" spans="5:5" x14ac:dyDescent="0.25">
      <c r="E2111" t="s">
        <v>149</v>
      </c>
    </row>
    <row r="2112" spans="5:5" x14ac:dyDescent="0.25">
      <c r="E2112" t="s">
        <v>149</v>
      </c>
    </row>
    <row r="2113" spans="5:5" x14ac:dyDescent="0.25">
      <c r="E2113" t="s">
        <v>149</v>
      </c>
    </row>
    <row r="2114" spans="5:5" x14ac:dyDescent="0.25">
      <c r="E2114" t="s">
        <v>149</v>
      </c>
    </row>
    <row r="2115" spans="5:5" x14ac:dyDescent="0.25">
      <c r="E2115" t="s">
        <v>149</v>
      </c>
    </row>
    <row r="2116" spans="5:5" x14ac:dyDescent="0.25">
      <c r="E2116" t="s">
        <v>149</v>
      </c>
    </row>
    <row r="2117" spans="5:5" x14ac:dyDescent="0.25">
      <c r="E2117" t="s">
        <v>149</v>
      </c>
    </row>
    <row r="2118" spans="5:5" x14ac:dyDescent="0.25">
      <c r="E2118" t="s">
        <v>149</v>
      </c>
    </row>
    <row r="2119" spans="5:5" x14ac:dyDescent="0.25">
      <c r="E2119" t="s">
        <v>149</v>
      </c>
    </row>
    <row r="2120" spans="5:5" x14ac:dyDescent="0.25">
      <c r="E2120" t="s">
        <v>149</v>
      </c>
    </row>
    <row r="2121" spans="5:5" x14ac:dyDescent="0.25">
      <c r="E2121" t="s">
        <v>149</v>
      </c>
    </row>
    <row r="2122" spans="5:5" x14ac:dyDescent="0.25">
      <c r="E2122" t="s">
        <v>149</v>
      </c>
    </row>
    <row r="2123" spans="5:5" x14ac:dyDescent="0.25">
      <c r="E2123" t="s">
        <v>149</v>
      </c>
    </row>
    <row r="2124" spans="5:5" x14ac:dyDescent="0.25">
      <c r="E2124" t="s">
        <v>149</v>
      </c>
    </row>
    <row r="2125" spans="5:5" x14ac:dyDescent="0.25">
      <c r="E2125" t="s">
        <v>149</v>
      </c>
    </row>
    <row r="2126" spans="5:5" x14ac:dyDescent="0.25">
      <c r="E2126" t="s">
        <v>149</v>
      </c>
    </row>
    <row r="2127" spans="5:5" x14ac:dyDescent="0.25">
      <c r="E2127" t="s">
        <v>149</v>
      </c>
    </row>
    <row r="2128" spans="5:5" x14ac:dyDescent="0.25">
      <c r="E2128" t="s">
        <v>149</v>
      </c>
    </row>
    <row r="2129" spans="5:5" x14ac:dyDescent="0.25">
      <c r="E2129" t="s">
        <v>149</v>
      </c>
    </row>
    <row r="2130" spans="5:5" x14ac:dyDescent="0.25">
      <c r="E2130" t="s">
        <v>149</v>
      </c>
    </row>
    <row r="2131" spans="5:5" x14ac:dyDescent="0.25">
      <c r="E2131" t="s">
        <v>149</v>
      </c>
    </row>
    <row r="2132" spans="5:5" x14ac:dyDescent="0.25">
      <c r="E2132" t="s">
        <v>149</v>
      </c>
    </row>
    <row r="2133" spans="5:5" x14ac:dyDescent="0.25">
      <c r="E2133" t="s">
        <v>149</v>
      </c>
    </row>
    <row r="2134" spans="5:5" x14ac:dyDescent="0.25">
      <c r="E2134" t="s">
        <v>149</v>
      </c>
    </row>
    <row r="2135" spans="5:5" x14ac:dyDescent="0.25">
      <c r="E2135" t="s">
        <v>149</v>
      </c>
    </row>
    <row r="2136" spans="5:5" x14ac:dyDescent="0.25">
      <c r="E2136" t="s">
        <v>149</v>
      </c>
    </row>
    <row r="2137" spans="5:5" x14ac:dyDescent="0.25">
      <c r="E2137" t="s">
        <v>149</v>
      </c>
    </row>
    <row r="2138" spans="5:5" x14ac:dyDescent="0.25">
      <c r="E2138" t="s">
        <v>149</v>
      </c>
    </row>
    <row r="2139" spans="5:5" x14ac:dyDescent="0.25">
      <c r="E2139" t="s">
        <v>149</v>
      </c>
    </row>
    <row r="2140" spans="5:5" x14ac:dyDescent="0.25">
      <c r="E2140" t="s">
        <v>149</v>
      </c>
    </row>
    <row r="2141" spans="5:5" x14ac:dyDescent="0.25">
      <c r="E2141" t="s">
        <v>149</v>
      </c>
    </row>
    <row r="2142" spans="5:5" x14ac:dyDescent="0.25">
      <c r="E2142" t="s">
        <v>149</v>
      </c>
    </row>
    <row r="2143" spans="5:5" x14ac:dyDescent="0.25">
      <c r="E2143" t="s">
        <v>149</v>
      </c>
    </row>
    <row r="2144" spans="5:5" x14ac:dyDescent="0.25">
      <c r="E2144" t="s">
        <v>149</v>
      </c>
    </row>
    <row r="2145" spans="5:5" x14ac:dyDescent="0.25">
      <c r="E2145" t="s">
        <v>149</v>
      </c>
    </row>
    <row r="2146" spans="5:5" x14ac:dyDescent="0.25">
      <c r="E2146" t="s">
        <v>149</v>
      </c>
    </row>
    <row r="2147" spans="5:5" x14ac:dyDescent="0.25">
      <c r="E2147" t="s">
        <v>149</v>
      </c>
    </row>
    <row r="2148" spans="5:5" x14ac:dyDescent="0.25">
      <c r="E2148" t="s">
        <v>149</v>
      </c>
    </row>
    <row r="2149" spans="5:5" x14ac:dyDescent="0.25">
      <c r="E2149" t="s">
        <v>149</v>
      </c>
    </row>
    <row r="2150" spans="5:5" x14ac:dyDescent="0.25">
      <c r="E2150" t="s">
        <v>149</v>
      </c>
    </row>
    <row r="2151" spans="5:5" x14ac:dyDescent="0.25">
      <c r="E2151" t="s">
        <v>149</v>
      </c>
    </row>
    <row r="2152" spans="5:5" x14ac:dyDescent="0.25">
      <c r="E2152" t="s">
        <v>149</v>
      </c>
    </row>
    <row r="2153" spans="5:5" x14ac:dyDescent="0.25">
      <c r="E2153" t="s">
        <v>149</v>
      </c>
    </row>
    <row r="2154" spans="5:5" x14ac:dyDescent="0.25">
      <c r="E2154" t="s">
        <v>149</v>
      </c>
    </row>
    <row r="2155" spans="5:5" x14ac:dyDescent="0.25">
      <c r="E2155" t="s">
        <v>149</v>
      </c>
    </row>
    <row r="2156" spans="5:5" x14ac:dyDescent="0.25">
      <c r="E2156" t="s">
        <v>149</v>
      </c>
    </row>
    <row r="2157" spans="5:5" x14ac:dyDescent="0.25">
      <c r="E2157" t="s">
        <v>149</v>
      </c>
    </row>
    <row r="2158" spans="5:5" x14ac:dyDescent="0.25">
      <c r="E2158" t="s">
        <v>149</v>
      </c>
    </row>
    <row r="2159" spans="5:5" x14ac:dyDescent="0.25">
      <c r="E2159" t="s">
        <v>149</v>
      </c>
    </row>
    <row r="2160" spans="5:5" x14ac:dyDescent="0.25">
      <c r="E2160" t="s">
        <v>149</v>
      </c>
    </row>
    <row r="2161" spans="5:5" x14ac:dyDescent="0.25">
      <c r="E2161" t="s">
        <v>149</v>
      </c>
    </row>
    <row r="2162" spans="5:5" x14ac:dyDescent="0.25">
      <c r="E2162" t="s">
        <v>149</v>
      </c>
    </row>
    <row r="2163" spans="5:5" x14ac:dyDescent="0.25">
      <c r="E2163" t="s">
        <v>149</v>
      </c>
    </row>
    <row r="2164" spans="5:5" x14ac:dyDescent="0.25">
      <c r="E2164" t="s">
        <v>149</v>
      </c>
    </row>
    <row r="2165" spans="5:5" x14ac:dyDescent="0.25">
      <c r="E2165" t="s">
        <v>149</v>
      </c>
    </row>
    <row r="2166" spans="5:5" x14ac:dyDescent="0.25">
      <c r="E2166" t="s">
        <v>149</v>
      </c>
    </row>
    <row r="2167" spans="5:5" x14ac:dyDescent="0.25">
      <c r="E2167" t="s">
        <v>149</v>
      </c>
    </row>
    <row r="2168" spans="5:5" x14ac:dyDescent="0.25">
      <c r="E2168" t="s">
        <v>149</v>
      </c>
    </row>
    <row r="2169" spans="5:5" x14ac:dyDescent="0.25">
      <c r="E2169" t="s">
        <v>149</v>
      </c>
    </row>
    <row r="2170" spans="5:5" x14ac:dyDescent="0.25">
      <c r="E2170" t="s">
        <v>149</v>
      </c>
    </row>
    <row r="2171" spans="5:5" x14ac:dyDescent="0.25">
      <c r="E2171" t="s">
        <v>149</v>
      </c>
    </row>
    <row r="2172" spans="5:5" x14ac:dyDescent="0.25">
      <c r="E2172" t="s">
        <v>149</v>
      </c>
    </row>
    <row r="2173" spans="5:5" x14ac:dyDescent="0.25">
      <c r="E2173" t="s">
        <v>149</v>
      </c>
    </row>
    <row r="2174" spans="5:5" x14ac:dyDescent="0.25">
      <c r="E2174" t="s">
        <v>149</v>
      </c>
    </row>
    <row r="2175" spans="5:5" x14ac:dyDescent="0.25">
      <c r="E2175" t="s">
        <v>149</v>
      </c>
    </row>
    <row r="2176" spans="5:5" x14ac:dyDescent="0.25">
      <c r="E2176" t="s">
        <v>149</v>
      </c>
    </row>
    <row r="2177" spans="5:5" x14ac:dyDescent="0.25">
      <c r="E2177" t="s">
        <v>149</v>
      </c>
    </row>
    <row r="2178" spans="5:5" x14ac:dyDescent="0.25">
      <c r="E2178" t="s">
        <v>149</v>
      </c>
    </row>
    <row r="2179" spans="5:5" x14ac:dyDescent="0.25">
      <c r="E2179" t="s">
        <v>149</v>
      </c>
    </row>
    <row r="2180" spans="5:5" x14ac:dyDescent="0.25">
      <c r="E2180" t="s">
        <v>149</v>
      </c>
    </row>
    <row r="2181" spans="5:5" x14ac:dyDescent="0.25">
      <c r="E2181" t="s">
        <v>149</v>
      </c>
    </row>
    <row r="2182" spans="5:5" x14ac:dyDescent="0.25">
      <c r="E2182" t="s">
        <v>149</v>
      </c>
    </row>
    <row r="2183" spans="5:5" x14ac:dyDescent="0.25">
      <c r="E2183" t="s">
        <v>149</v>
      </c>
    </row>
    <row r="2184" spans="5:5" x14ac:dyDescent="0.25">
      <c r="E2184" t="s">
        <v>149</v>
      </c>
    </row>
    <row r="2185" spans="5:5" x14ac:dyDescent="0.25">
      <c r="E2185" t="s">
        <v>149</v>
      </c>
    </row>
    <row r="2186" spans="5:5" x14ac:dyDescent="0.25">
      <c r="E2186" t="s">
        <v>149</v>
      </c>
    </row>
    <row r="2187" spans="5:5" x14ac:dyDescent="0.25">
      <c r="E2187" t="s">
        <v>149</v>
      </c>
    </row>
    <row r="2188" spans="5:5" x14ac:dyDescent="0.25">
      <c r="E2188" t="s">
        <v>149</v>
      </c>
    </row>
    <row r="2189" spans="5:5" x14ac:dyDescent="0.25">
      <c r="E2189" t="s">
        <v>149</v>
      </c>
    </row>
    <row r="2190" spans="5:5" x14ac:dyDescent="0.25">
      <c r="E2190" t="s">
        <v>149</v>
      </c>
    </row>
    <row r="2191" spans="5:5" x14ac:dyDescent="0.25">
      <c r="E2191" t="s">
        <v>149</v>
      </c>
    </row>
    <row r="2192" spans="5:5" x14ac:dyDescent="0.25">
      <c r="E2192" t="s">
        <v>149</v>
      </c>
    </row>
    <row r="2193" spans="5:5" x14ac:dyDescent="0.25">
      <c r="E2193" t="s">
        <v>149</v>
      </c>
    </row>
    <row r="2194" spans="5:5" x14ac:dyDescent="0.25">
      <c r="E2194" t="s">
        <v>149</v>
      </c>
    </row>
    <row r="2195" spans="5:5" x14ac:dyDescent="0.25">
      <c r="E2195" t="s">
        <v>149</v>
      </c>
    </row>
    <row r="2196" spans="5:5" x14ac:dyDescent="0.25">
      <c r="E2196" t="s">
        <v>149</v>
      </c>
    </row>
    <row r="2197" spans="5:5" x14ac:dyDescent="0.25">
      <c r="E2197" t="s">
        <v>149</v>
      </c>
    </row>
    <row r="2198" spans="5:5" x14ac:dyDescent="0.25">
      <c r="E2198" t="s">
        <v>149</v>
      </c>
    </row>
    <row r="2199" spans="5:5" x14ac:dyDescent="0.25">
      <c r="E2199" t="s">
        <v>149</v>
      </c>
    </row>
    <row r="2200" spans="5:5" x14ac:dyDescent="0.25">
      <c r="E2200" t="s">
        <v>149</v>
      </c>
    </row>
    <row r="2201" spans="5:5" x14ac:dyDescent="0.25">
      <c r="E2201" t="s">
        <v>149</v>
      </c>
    </row>
    <row r="2202" spans="5:5" x14ac:dyDescent="0.25">
      <c r="E2202" t="s">
        <v>149</v>
      </c>
    </row>
    <row r="2203" spans="5:5" x14ac:dyDescent="0.25">
      <c r="E2203" t="s">
        <v>149</v>
      </c>
    </row>
    <row r="2204" spans="5:5" x14ac:dyDescent="0.25">
      <c r="E2204" t="s">
        <v>149</v>
      </c>
    </row>
    <row r="2205" spans="5:5" x14ac:dyDescent="0.25">
      <c r="E2205" t="s">
        <v>149</v>
      </c>
    </row>
    <row r="2206" spans="5:5" x14ac:dyDescent="0.25">
      <c r="E2206" t="s">
        <v>149</v>
      </c>
    </row>
    <row r="2207" spans="5:5" x14ac:dyDescent="0.25">
      <c r="E2207" t="s">
        <v>149</v>
      </c>
    </row>
    <row r="2208" spans="5:5" x14ac:dyDescent="0.25">
      <c r="E2208" t="s">
        <v>149</v>
      </c>
    </row>
    <row r="2209" spans="5:5" x14ac:dyDescent="0.25">
      <c r="E2209" t="s">
        <v>149</v>
      </c>
    </row>
    <row r="2210" spans="5:5" x14ac:dyDescent="0.25">
      <c r="E2210" t="s">
        <v>149</v>
      </c>
    </row>
    <row r="2211" spans="5:5" x14ac:dyDescent="0.25">
      <c r="E2211" t="s">
        <v>149</v>
      </c>
    </row>
    <row r="2212" spans="5:5" x14ac:dyDescent="0.25">
      <c r="E2212" t="s">
        <v>149</v>
      </c>
    </row>
    <row r="2213" spans="5:5" x14ac:dyDescent="0.25">
      <c r="E2213" t="s">
        <v>149</v>
      </c>
    </row>
    <row r="2214" spans="5:5" x14ac:dyDescent="0.25">
      <c r="E2214" t="s">
        <v>149</v>
      </c>
    </row>
    <row r="2215" spans="5:5" x14ac:dyDescent="0.25">
      <c r="E2215" t="s">
        <v>149</v>
      </c>
    </row>
    <row r="2216" spans="5:5" x14ac:dyDescent="0.25">
      <c r="E2216" t="s">
        <v>149</v>
      </c>
    </row>
    <row r="2217" spans="5:5" x14ac:dyDescent="0.25">
      <c r="E2217" t="s">
        <v>149</v>
      </c>
    </row>
    <row r="2218" spans="5:5" x14ac:dyDescent="0.25">
      <c r="E2218" t="s">
        <v>149</v>
      </c>
    </row>
    <row r="2219" spans="5:5" x14ac:dyDescent="0.25">
      <c r="E2219" t="s">
        <v>149</v>
      </c>
    </row>
    <row r="2220" spans="5:5" x14ac:dyDescent="0.25">
      <c r="E2220" t="s">
        <v>149</v>
      </c>
    </row>
    <row r="2221" spans="5:5" x14ac:dyDescent="0.25">
      <c r="E2221" t="s">
        <v>149</v>
      </c>
    </row>
    <row r="2222" spans="5:5" x14ac:dyDescent="0.25">
      <c r="E2222" t="s">
        <v>149</v>
      </c>
    </row>
    <row r="2223" spans="5:5" x14ac:dyDescent="0.25">
      <c r="E2223" t="s">
        <v>149</v>
      </c>
    </row>
    <row r="2224" spans="5:5" x14ac:dyDescent="0.25">
      <c r="E2224" t="s">
        <v>149</v>
      </c>
    </row>
    <row r="2225" spans="5:5" x14ac:dyDescent="0.25">
      <c r="E2225" t="s">
        <v>149</v>
      </c>
    </row>
    <row r="2226" spans="5:5" x14ac:dyDescent="0.25">
      <c r="E2226" t="s">
        <v>149</v>
      </c>
    </row>
    <row r="2227" spans="5:5" x14ac:dyDescent="0.25">
      <c r="E2227" t="s">
        <v>149</v>
      </c>
    </row>
    <row r="2228" spans="5:5" x14ac:dyDescent="0.25">
      <c r="E2228" t="s">
        <v>149</v>
      </c>
    </row>
    <row r="2229" spans="5:5" x14ac:dyDescent="0.25">
      <c r="E2229" t="s">
        <v>149</v>
      </c>
    </row>
    <row r="2230" spans="5:5" x14ac:dyDescent="0.25">
      <c r="E2230" t="s">
        <v>149</v>
      </c>
    </row>
    <row r="2231" spans="5:5" x14ac:dyDescent="0.25">
      <c r="E2231" t="s">
        <v>149</v>
      </c>
    </row>
    <row r="2232" spans="5:5" x14ac:dyDescent="0.25">
      <c r="E2232" t="s">
        <v>149</v>
      </c>
    </row>
    <row r="2233" spans="5:5" x14ac:dyDescent="0.25">
      <c r="E2233" t="s">
        <v>149</v>
      </c>
    </row>
    <row r="2234" spans="5:5" x14ac:dyDescent="0.25">
      <c r="E2234" t="s">
        <v>149</v>
      </c>
    </row>
    <row r="2235" spans="5:5" x14ac:dyDescent="0.25">
      <c r="E2235" t="s">
        <v>149</v>
      </c>
    </row>
    <row r="2236" spans="5:5" x14ac:dyDescent="0.25">
      <c r="E2236" t="s">
        <v>149</v>
      </c>
    </row>
    <row r="2237" spans="5:5" x14ac:dyDescent="0.25">
      <c r="E2237" t="s">
        <v>149</v>
      </c>
    </row>
    <row r="2238" spans="5:5" x14ac:dyDescent="0.25">
      <c r="E2238" t="s">
        <v>149</v>
      </c>
    </row>
    <row r="2239" spans="5:5" x14ac:dyDescent="0.25">
      <c r="E2239" t="s">
        <v>149</v>
      </c>
    </row>
    <row r="2240" spans="5:5" x14ac:dyDescent="0.25">
      <c r="E2240" t="s">
        <v>149</v>
      </c>
    </row>
    <row r="2241" spans="5:5" x14ac:dyDescent="0.25">
      <c r="E2241" t="s">
        <v>149</v>
      </c>
    </row>
    <row r="2242" spans="5:5" x14ac:dyDescent="0.25">
      <c r="E2242" t="s">
        <v>149</v>
      </c>
    </row>
    <row r="2243" spans="5:5" x14ac:dyDescent="0.25">
      <c r="E2243" t="s">
        <v>149</v>
      </c>
    </row>
    <row r="2244" spans="5:5" x14ac:dyDescent="0.25">
      <c r="E2244" t="s">
        <v>149</v>
      </c>
    </row>
    <row r="2245" spans="5:5" x14ac:dyDescent="0.25">
      <c r="E2245" t="s">
        <v>149</v>
      </c>
    </row>
    <row r="2246" spans="5:5" x14ac:dyDescent="0.25">
      <c r="E2246" t="s">
        <v>149</v>
      </c>
    </row>
    <row r="2247" spans="5:5" x14ac:dyDescent="0.25">
      <c r="E2247" t="s">
        <v>149</v>
      </c>
    </row>
    <row r="2248" spans="5:5" x14ac:dyDescent="0.25">
      <c r="E2248" t="s">
        <v>149</v>
      </c>
    </row>
    <row r="2249" spans="5:5" x14ac:dyDescent="0.25">
      <c r="E2249" t="s">
        <v>149</v>
      </c>
    </row>
    <row r="2250" spans="5:5" x14ac:dyDescent="0.25">
      <c r="E2250" t="s">
        <v>149</v>
      </c>
    </row>
    <row r="2251" spans="5:5" x14ac:dyDescent="0.25">
      <c r="E2251" t="s">
        <v>149</v>
      </c>
    </row>
    <row r="2252" spans="5:5" x14ac:dyDescent="0.25">
      <c r="E2252" t="s">
        <v>149</v>
      </c>
    </row>
    <row r="2253" spans="5:5" x14ac:dyDescent="0.25">
      <c r="E2253" t="s">
        <v>149</v>
      </c>
    </row>
    <row r="2254" spans="5:5" x14ac:dyDescent="0.25">
      <c r="E2254" t="s">
        <v>149</v>
      </c>
    </row>
    <row r="2255" spans="5:5" x14ac:dyDescent="0.25">
      <c r="E2255" t="s">
        <v>149</v>
      </c>
    </row>
    <row r="2256" spans="5:5" x14ac:dyDescent="0.25">
      <c r="E2256" t="s">
        <v>149</v>
      </c>
    </row>
    <row r="2257" spans="5:5" x14ac:dyDescent="0.25">
      <c r="E2257" t="s">
        <v>149</v>
      </c>
    </row>
    <row r="2258" spans="5:5" x14ac:dyDescent="0.25">
      <c r="E2258" t="s">
        <v>149</v>
      </c>
    </row>
    <row r="2259" spans="5:5" x14ac:dyDescent="0.25">
      <c r="E2259" t="s">
        <v>149</v>
      </c>
    </row>
    <row r="2260" spans="5:5" x14ac:dyDescent="0.25">
      <c r="E2260" t="s">
        <v>149</v>
      </c>
    </row>
    <row r="2261" spans="5:5" x14ac:dyDescent="0.25">
      <c r="E2261" t="s">
        <v>149</v>
      </c>
    </row>
    <row r="2262" spans="5:5" x14ac:dyDescent="0.25">
      <c r="E2262" t="s">
        <v>149</v>
      </c>
    </row>
    <row r="2263" spans="5:5" x14ac:dyDescent="0.25">
      <c r="E2263" t="s">
        <v>149</v>
      </c>
    </row>
    <row r="2264" spans="5:5" x14ac:dyDescent="0.25">
      <c r="E2264" t="s">
        <v>149</v>
      </c>
    </row>
    <row r="2265" spans="5:5" x14ac:dyDescent="0.25">
      <c r="E2265" t="s">
        <v>149</v>
      </c>
    </row>
    <row r="2266" spans="5:5" x14ac:dyDescent="0.25">
      <c r="E2266" t="s">
        <v>149</v>
      </c>
    </row>
    <row r="2267" spans="5:5" x14ac:dyDescent="0.25">
      <c r="E2267" t="s">
        <v>149</v>
      </c>
    </row>
    <row r="2268" spans="5:5" x14ac:dyDescent="0.25">
      <c r="E2268" t="s">
        <v>149</v>
      </c>
    </row>
    <row r="2269" spans="5:5" x14ac:dyDescent="0.25">
      <c r="E2269" t="s">
        <v>149</v>
      </c>
    </row>
    <row r="2270" spans="5:5" x14ac:dyDescent="0.25">
      <c r="E2270" t="s">
        <v>149</v>
      </c>
    </row>
    <row r="2271" spans="5:5" x14ac:dyDescent="0.25">
      <c r="E2271" t="s">
        <v>149</v>
      </c>
    </row>
    <row r="2272" spans="5:5" x14ac:dyDescent="0.25">
      <c r="E2272" t="s">
        <v>149</v>
      </c>
    </row>
    <row r="2273" spans="5:5" x14ac:dyDescent="0.25">
      <c r="E2273" t="s">
        <v>149</v>
      </c>
    </row>
    <row r="2274" spans="5:5" x14ac:dyDescent="0.25">
      <c r="E2274" t="s">
        <v>149</v>
      </c>
    </row>
    <row r="2275" spans="5:5" x14ac:dyDescent="0.25">
      <c r="E2275" t="s">
        <v>149</v>
      </c>
    </row>
    <row r="2276" spans="5:5" x14ac:dyDescent="0.25">
      <c r="E2276" t="s">
        <v>149</v>
      </c>
    </row>
    <row r="2277" spans="5:5" x14ac:dyDescent="0.25">
      <c r="E2277" t="s">
        <v>149</v>
      </c>
    </row>
    <row r="2278" spans="5:5" x14ac:dyDescent="0.25">
      <c r="E2278" t="s">
        <v>149</v>
      </c>
    </row>
    <row r="2279" spans="5:5" x14ac:dyDescent="0.25">
      <c r="E2279" t="s">
        <v>149</v>
      </c>
    </row>
    <row r="2280" spans="5:5" x14ac:dyDescent="0.25">
      <c r="E2280" t="s">
        <v>149</v>
      </c>
    </row>
    <row r="2281" spans="5:5" x14ac:dyDescent="0.25">
      <c r="E2281" t="s">
        <v>149</v>
      </c>
    </row>
    <row r="2282" spans="5:5" x14ac:dyDescent="0.25">
      <c r="E2282" t="s">
        <v>149</v>
      </c>
    </row>
    <row r="2283" spans="5:5" x14ac:dyDescent="0.25">
      <c r="E2283" t="s">
        <v>149</v>
      </c>
    </row>
    <row r="2284" spans="5:5" x14ac:dyDescent="0.25">
      <c r="E2284" t="s">
        <v>149</v>
      </c>
    </row>
    <row r="2285" spans="5:5" x14ac:dyDescent="0.25">
      <c r="E2285" t="s">
        <v>149</v>
      </c>
    </row>
    <row r="2286" spans="5:5" x14ac:dyDescent="0.25">
      <c r="E2286" t="s">
        <v>149</v>
      </c>
    </row>
    <row r="2287" spans="5:5" x14ac:dyDescent="0.25">
      <c r="E2287" t="s">
        <v>149</v>
      </c>
    </row>
    <row r="2288" spans="5:5" x14ac:dyDescent="0.25">
      <c r="E2288" t="s">
        <v>149</v>
      </c>
    </row>
    <row r="2289" spans="5:5" x14ac:dyDescent="0.25">
      <c r="E2289" t="s">
        <v>149</v>
      </c>
    </row>
    <row r="2290" spans="5:5" x14ac:dyDescent="0.25">
      <c r="E2290" t="s">
        <v>149</v>
      </c>
    </row>
    <row r="2291" spans="5:5" x14ac:dyDescent="0.25">
      <c r="E2291" t="s">
        <v>149</v>
      </c>
    </row>
    <row r="2292" spans="5:5" x14ac:dyDescent="0.25">
      <c r="E2292" t="s">
        <v>149</v>
      </c>
    </row>
    <row r="2293" spans="5:5" x14ac:dyDescent="0.25">
      <c r="E2293" t="s">
        <v>149</v>
      </c>
    </row>
    <row r="2294" spans="5:5" x14ac:dyDescent="0.25">
      <c r="E2294" t="s">
        <v>149</v>
      </c>
    </row>
    <row r="2295" spans="5:5" x14ac:dyDescent="0.25">
      <c r="E2295" t="s">
        <v>149</v>
      </c>
    </row>
    <row r="2296" spans="5:5" x14ac:dyDescent="0.25">
      <c r="E2296" t="s">
        <v>149</v>
      </c>
    </row>
    <row r="2297" spans="5:5" x14ac:dyDescent="0.25">
      <c r="E2297" t="s">
        <v>149</v>
      </c>
    </row>
    <row r="2298" spans="5:5" x14ac:dyDescent="0.25">
      <c r="E2298" t="s">
        <v>149</v>
      </c>
    </row>
    <row r="2299" spans="5:5" x14ac:dyDescent="0.25">
      <c r="E2299" t="s">
        <v>149</v>
      </c>
    </row>
    <row r="2300" spans="5:5" x14ac:dyDescent="0.25">
      <c r="E2300" t="s">
        <v>149</v>
      </c>
    </row>
    <row r="2301" spans="5:5" x14ac:dyDescent="0.25">
      <c r="E2301" t="s">
        <v>149</v>
      </c>
    </row>
    <row r="2302" spans="5:5" x14ac:dyDescent="0.25">
      <c r="E2302" t="s">
        <v>149</v>
      </c>
    </row>
    <row r="2303" spans="5:5" x14ac:dyDescent="0.25">
      <c r="E2303" t="s">
        <v>149</v>
      </c>
    </row>
    <row r="2304" spans="5:5" x14ac:dyDescent="0.25">
      <c r="E2304" t="s">
        <v>149</v>
      </c>
    </row>
    <row r="2305" spans="5:5" x14ac:dyDescent="0.25">
      <c r="E2305" t="s">
        <v>149</v>
      </c>
    </row>
    <row r="2306" spans="5:5" x14ac:dyDescent="0.25">
      <c r="E2306" t="s">
        <v>149</v>
      </c>
    </row>
    <row r="2307" spans="5:5" x14ac:dyDescent="0.25">
      <c r="E2307" t="s">
        <v>149</v>
      </c>
    </row>
    <row r="2308" spans="5:5" x14ac:dyDescent="0.25">
      <c r="E2308" t="s">
        <v>149</v>
      </c>
    </row>
    <row r="2309" spans="5:5" x14ac:dyDescent="0.25">
      <c r="E2309" t="s">
        <v>149</v>
      </c>
    </row>
    <row r="2310" spans="5:5" x14ac:dyDescent="0.25">
      <c r="E2310" t="s">
        <v>149</v>
      </c>
    </row>
    <row r="2311" spans="5:5" x14ac:dyDescent="0.25">
      <c r="E2311" t="s">
        <v>149</v>
      </c>
    </row>
    <row r="2312" spans="5:5" x14ac:dyDescent="0.25">
      <c r="E2312" t="s">
        <v>149</v>
      </c>
    </row>
    <row r="2313" spans="5:5" x14ac:dyDescent="0.25">
      <c r="E2313" t="s">
        <v>149</v>
      </c>
    </row>
    <row r="2314" spans="5:5" x14ac:dyDescent="0.25">
      <c r="E2314" t="s">
        <v>149</v>
      </c>
    </row>
    <row r="2315" spans="5:5" x14ac:dyDescent="0.25">
      <c r="E2315" t="s">
        <v>149</v>
      </c>
    </row>
    <row r="2316" spans="5:5" x14ac:dyDescent="0.25">
      <c r="E2316" t="s">
        <v>149</v>
      </c>
    </row>
    <row r="2317" spans="5:5" x14ac:dyDescent="0.25">
      <c r="E2317" t="s">
        <v>149</v>
      </c>
    </row>
    <row r="2318" spans="5:5" x14ac:dyDescent="0.25">
      <c r="E2318" t="s">
        <v>149</v>
      </c>
    </row>
    <row r="2319" spans="5:5" x14ac:dyDescent="0.25">
      <c r="E2319" t="s">
        <v>149</v>
      </c>
    </row>
    <row r="2320" spans="5:5" x14ac:dyDescent="0.25">
      <c r="E2320" t="s">
        <v>149</v>
      </c>
    </row>
    <row r="2321" spans="5:5" x14ac:dyDescent="0.25">
      <c r="E2321" t="s">
        <v>149</v>
      </c>
    </row>
    <row r="2322" spans="5:5" x14ac:dyDescent="0.25">
      <c r="E2322" t="s">
        <v>149</v>
      </c>
    </row>
    <row r="2323" spans="5:5" x14ac:dyDescent="0.25">
      <c r="E2323" t="s">
        <v>149</v>
      </c>
    </row>
    <row r="2324" spans="5:5" x14ac:dyDescent="0.25">
      <c r="E2324" t="s">
        <v>149</v>
      </c>
    </row>
    <row r="2325" spans="5:5" x14ac:dyDescent="0.25">
      <c r="E2325" t="s">
        <v>149</v>
      </c>
    </row>
    <row r="2326" spans="5:5" x14ac:dyDescent="0.25">
      <c r="E2326" t="s">
        <v>149</v>
      </c>
    </row>
    <row r="2327" spans="5:5" x14ac:dyDescent="0.25">
      <c r="E2327" t="s">
        <v>149</v>
      </c>
    </row>
    <row r="2328" spans="5:5" x14ac:dyDescent="0.25">
      <c r="E2328" t="s">
        <v>149</v>
      </c>
    </row>
    <row r="2329" spans="5:5" x14ac:dyDescent="0.25">
      <c r="E2329" t="s">
        <v>149</v>
      </c>
    </row>
    <row r="2330" spans="5:5" x14ac:dyDescent="0.25">
      <c r="E2330" t="s">
        <v>149</v>
      </c>
    </row>
    <row r="2331" spans="5:5" x14ac:dyDescent="0.25">
      <c r="E2331" t="s">
        <v>149</v>
      </c>
    </row>
    <row r="2332" spans="5:5" x14ac:dyDescent="0.25">
      <c r="E2332" t="s">
        <v>149</v>
      </c>
    </row>
    <row r="2333" spans="5:5" x14ac:dyDescent="0.25">
      <c r="E2333" t="s">
        <v>149</v>
      </c>
    </row>
    <row r="2334" spans="5:5" x14ac:dyDescent="0.25">
      <c r="E2334" t="s">
        <v>149</v>
      </c>
    </row>
    <row r="2335" spans="5:5" x14ac:dyDescent="0.25">
      <c r="E2335" t="s">
        <v>149</v>
      </c>
    </row>
    <row r="2336" spans="5:5" x14ac:dyDescent="0.25">
      <c r="E2336" t="s">
        <v>149</v>
      </c>
    </row>
    <row r="2337" spans="5:5" x14ac:dyDescent="0.25">
      <c r="E2337" t="s">
        <v>149</v>
      </c>
    </row>
    <row r="2338" spans="5:5" x14ac:dyDescent="0.25">
      <c r="E2338" t="s">
        <v>149</v>
      </c>
    </row>
    <row r="2339" spans="5:5" x14ac:dyDescent="0.25">
      <c r="E2339" t="s">
        <v>149</v>
      </c>
    </row>
    <row r="2340" spans="5:5" x14ac:dyDescent="0.25">
      <c r="E2340" t="s">
        <v>149</v>
      </c>
    </row>
    <row r="2341" spans="5:5" x14ac:dyDescent="0.25">
      <c r="E2341" t="s">
        <v>149</v>
      </c>
    </row>
    <row r="2342" spans="5:5" x14ac:dyDescent="0.25">
      <c r="E2342" t="s">
        <v>149</v>
      </c>
    </row>
    <row r="2343" spans="5:5" x14ac:dyDescent="0.25">
      <c r="E2343" t="s">
        <v>149</v>
      </c>
    </row>
    <row r="2344" spans="5:5" x14ac:dyDescent="0.25">
      <c r="E2344" t="s">
        <v>149</v>
      </c>
    </row>
    <row r="2345" spans="5:5" x14ac:dyDescent="0.25">
      <c r="E2345" t="s">
        <v>149</v>
      </c>
    </row>
    <row r="2346" spans="5:5" x14ac:dyDescent="0.25">
      <c r="E2346" t="s">
        <v>149</v>
      </c>
    </row>
    <row r="2347" spans="5:5" x14ac:dyDescent="0.25">
      <c r="E2347" t="s">
        <v>149</v>
      </c>
    </row>
    <row r="2348" spans="5:5" x14ac:dyDescent="0.25">
      <c r="E2348" t="s">
        <v>149</v>
      </c>
    </row>
    <row r="2349" spans="5:5" x14ac:dyDescent="0.25">
      <c r="E2349" t="s">
        <v>149</v>
      </c>
    </row>
    <row r="2350" spans="5:5" x14ac:dyDescent="0.25">
      <c r="E2350" t="s">
        <v>149</v>
      </c>
    </row>
    <row r="2351" spans="5:5" x14ac:dyDescent="0.25">
      <c r="E2351" t="s">
        <v>149</v>
      </c>
    </row>
    <row r="2352" spans="5:5" x14ac:dyDescent="0.25">
      <c r="E2352" t="s">
        <v>149</v>
      </c>
    </row>
    <row r="2353" spans="5:5" x14ac:dyDescent="0.25">
      <c r="E2353" t="s">
        <v>149</v>
      </c>
    </row>
    <row r="2354" spans="5:5" x14ac:dyDescent="0.25">
      <c r="E2354" t="s">
        <v>149</v>
      </c>
    </row>
    <row r="2355" spans="5:5" x14ac:dyDescent="0.25">
      <c r="E2355" t="s">
        <v>149</v>
      </c>
    </row>
    <row r="2356" spans="5:5" x14ac:dyDescent="0.25">
      <c r="E2356" t="s">
        <v>149</v>
      </c>
    </row>
    <row r="2357" spans="5:5" x14ac:dyDescent="0.25">
      <c r="E2357" t="s">
        <v>149</v>
      </c>
    </row>
    <row r="2358" spans="5:5" x14ac:dyDescent="0.25">
      <c r="E2358" t="s">
        <v>149</v>
      </c>
    </row>
    <row r="2359" spans="5:5" x14ac:dyDescent="0.25">
      <c r="E2359" t="s">
        <v>149</v>
      </c>
    </row>
    <row r="2360" spans="5:5" x14ac:dyDescent="0.25">
      <c r="E2360" t="s">
        <v>149</v>
      </c>
    </row>
    <row r="2361" spans="5:5" x14ac:dyDescent="0.25">
      <c r="E2361" t="s">
        <v>149</v>
      </c>
    </row>
    <row r="2362" spans="5:5" x14ac:dyDescent="0.25">
      <c r="E2362" t="s">
        <v>149</v>
      </c>
    </row>
    <row r="2363" spans="5:5" x14ac:dyDescent="0.25">
      <c r="E2363" t="s">
        <v>149</v>
      </c>
    </row>
    <row r="2364" spans="5:5" x14ac:dyDescent="0.25">
      <c r="E2364" t="s">
        <v>149</v>
      </c>
    </row>
    <row r="2365" spans="5:5" x14ac:dyDescent="0.25">
      <c r="E2365" t="s">
        <v>149</v>
      </c>
    </row>
    <row r="2366" spans="5:5" x14ac:dyDescent="0.25">
      <c r="E2366" t="s">
        <v>149</v>
      </c>
    </row>
    <row r="2367" spans="5:5" x14ac:dyDescent="0.25">
      <c r="E2367" t="s">
        <v>149</v>
      </c>
    </row>
    <row r="2368" spans="5:5" x14ac:dyDescent="0.25">
      <c r="E2368" t="s">
        <v>149</v>
      </c>
    </row>
    <row r="2369" spans="5:5" x14ac:dyDescent="0.25">
      <c r="E2369" t="s">
        <v>149</v>
      </c>
    </row>
    <row r="2370" spans="5:5" x14ac:dyDescent="0.25">
      <c r="E2370" t="s">
        <v>149</v>
      </c>
    </row>
    <row r="2371" spans="5:5" x14ac:dyDescent="0.25">
      <c r="E2371" t="s">
        <v>149</v>
      </c>
    </row>
    <row r="2372" spans="5:5" x14ac:dyDescent="0.25">
      <c r="E2372" t="s">
        <v>149</v>
      </c>
    </row>
    <row r="2373" spans="5:5" x14ac:dyDescent="0.25">
      <c r="E2373" t="s">
        <v>149</v>
      </c>
    </row>
    <row r="2374" spans="5:5" x14ac:dyDescent="0.25">
      <c r="E2374" t="s">
        <v>149</v>
      </c>
    </row>
    <row r="2375" spans="5:5" x14ac:dyDescent="0.25">
      <c r="E2375" t="s">
        <v>149</v>
      </c>
    </row>
    <row r="2376" spans="5:5" x14ac:dyDescent="0.25">
      <c r="E2376" t="s">
        <v>149</v>
      </c>
    </row>
    <row r="2377" spans="5:5" x14ac:dyDescent="0.25">
      <c r="E2377" t="s">
        <v>149</v>
      </c>
    </row>
    <row r="2378" spans="5:5" x14ac:dyDescent="0.25">
      <c r="E2378" t="s">
        <v>149</v>
      </c>
    </row>
    <row r="2379" spans="5:5" x14ac:dyDescent="0.25">
      <c r="E2379" t="s">
        <v>149</v>
      </c>
    </row>
    <row r="2380" spans="5:5" x14ac:dyDescent="0.25">
      <c r="E2380" t="s">
        <v>149</v>
      </c>
    </row>
    <row r="2381" spans="5:5" x14ac:dyDescent="0.25">
      <c r="E2381" t="s">
        <v>149</v>
      </c>
    </row>
    <row r="2382" spans="5:5" x14ac:dyDescent="0.25">
      <c r="E2382" t="s">
        <v>149</v>
      </c>
    </row>
    <row r="2383" spans="5:5" x14ac:dyDescent="0.25">
      <c r="E2383" t="s">
        <v>149</v>
      </c>
    </row>
    <row r="2384" spans="5:5" x14ac:dyDescent="0.25">
      <c r="E2384" t="s">
        <v>149</v>
      </c>
    </row>
    <row r="2385" spans="5:5" x14ac:dyDescent="0.25">
      <c r="E2385" t="s">
        <v>149</v>
      </c>
    </row>
    <row r="2386" spans="5:5" x14ac:dyDescent="0.25">
      <c r="E2386" t="s">
        <v>149</v>
      </c>
    </row>
    <row r="2387" spans="5:5" x14ac:dyDescent="0.25">
      <c r="E2387" t="s">
        <v>149</v>
      </c>
    </row>
    <row r="2388" spans="5:5" x14ac:dyDescent="0.25">
      <c r="E2388" t="s">
        <v>149</v>
      </c>
    </row>
    <row r="2389" spans="5:5" x14ac:dyDescent="0.25">
      <c r="E2389" t="s">
        <v>149</v>
      </c>
    </row>
    <row r="2390" spans="5:5" x14ac:dyDescent="0.25">
      <c r="E2390" t="s">
        <v>149</v>
      </c>
    </row>
    <row r="2391" spans="5:5" x14ac:dyDescent="0.25">
      <c r="E2391" t="s">
        <v>149</v>
      </c>
    </row>
    <row r="2392" spans="5:5" x14ac:dyDescent="0.25">
      <c r="E2392" t="s">
        <v>149</v>
      </c>
    </row>
    <row r="2393" spans="5:5" x14ac:dyDescent="0.25">
      <c r="E2393" t="s">
        <v>149</v>
      </c>
    </row>
    <row r="2394" spans="5:5" x14ac:dyDescent="0.25">
      <c r="E2394" t="s">
        <v>149</v>
      </c>
    </row>
    <row r="2395" spans="5:5" x14ac:dyDescent="0.25">
      <c r="E2395" t="s">
        <v>149</v>
      </c>
    </row>
    <row r="2396" spans="5:5" x14ac:dyDescent="0.25">
      <c r="E2396" t="s">
        <v>149</v>
      </c>
    </row>
    <row r="2397" spans="5:5" x14ac:dyDescent="0.25">
      <c r="E2397" t="s">
        <v>149</v>
      </c>
    </row>
    <row r="2398" spans="5:5" x14ac:dyDescent="0.25">
      <c r="E2398" t="s">
        <v>149</v>
      </c>
    </row>
    <row r="2399" spans="5:5" x14ac:dyDescent="0.25">
      <c r="E2399" t="s">
        <v>149</v>
      </c>
    </row>
    <row r="2400" spans="5:5" x14ac:dyDescent="0.25">
      <c r="E2400" t="s">
        <v>149</v>
      </c>
    </row>
    <row r="2401" spans="5:5" x14ac:dyDescent="0.25">
      <c r="E2401" t="s">
        <v>149</v>
      </c>
    </row>
    <row r="2402" spans="5:5" x14ac:dyDescent="0.25">
      <c r="E2402" t="s">
        <v>149</v>
      </c>
    </row>
    <row r="2403" spans="5:5" x14ac:dyDescent="0.25">
      <c r="E2403" t="s">
        <v>149</v>
      </c>
    </row>
    <row r="2404" spans="5:5" x14ac:dyDescent="0.25">
      <c r="E2404" t="s">
        <v>149</v>
      </c>
    </row>
    <row r="2405" spans="5:5" x14ac:dyDescent="0.25">
      <c r="E2405" t="s">
        <v>149</v>
      </c>
    </row>
    <row r="2406" spans="5:5" x14ac:dyDescent="0.25">
      <c r="E2406" t="s">
        <v>149</v>
      </c>
    </row>
    <row r="2407" spans="5:5" x14ac:dyDescent="0.25">
      <c r="E2407" t="s">
        <v>149</v>
      </c>
    </row>
    <row r="2408" spans="5:5" x14ac:dyDescent="0.25">
      <c r="E2408" t="s">
        <v>149</v>
      </c>
    </row>
    <row r="2409" spans="5:5" x14ac:dyDescent="0.25">
      <c r="E2409" t="s">
        <v>149</v>
      </c>
    </row>
    <row r="2410" spans="5:5" x14ac:dyDescent="0.25">
      <c r="E2410" t="s">
        <v>149</v>
      </c>
    </row>
    <row r="2411" spans="5:5" x14ac:dyDescent="0.25">
      <c r="E2411" t="s">
        <v>149</v>
      </c>
    </row>
    <row r="2412" spans="5:5" x14ac:dyDescent="0.25">
      <c r="E2412" t="s">
        <v>149</v>
      </c>
    </row>
    <row r="2413" spans="5:5" x14ac:dyDescent="0.25">
      <c r="E2413" t="s">
        <v>149</v>
      </c>
    </row>
    <row r="2414" spans="5:5" x14ac:dyDescent="0.25">
      <c r="E2414" t="s">
        <v>149</v>
      </c>
    </row>
    <row r="2415" spans="5:5" x14ac:dyDescent="0.25">
      <c r="E2415" t="s">
        <v>149</v>
      </c>
    </row>
    <row r="2416" spans="5:5" x14ac:dyDescent="0.25">
      <c r="E2416" t="s">
        <v>149</v>
      </c>
    </row>
    <row r="2417" spans="5:5" x14ac:dyDescent="0.25">
      <c r="E2417" t="s">
        <v>149</v>
      </c>
    </row>
    <row r="2418" spans="5:5" x14ac:dyDescent="0.25">
      <c r="E2418" t="s">
        <v>149</v>
      </c>
    </row>
    <row r="2419" spans="5:5" x14ac:dyDescent="0.25">
      <c r="E2419" t="s">
        <v>149</v>
      </c>
    </row>
    <row r="2420" spans="5:5" x14ac:dyDescent="0.25">
      <c r="E2420" t="s">
        <v>149</v>
      </c>
    </row>
    <row r="2421" spans="5:5" x14ac:dyDescent="0.25">
      <c r="E2421" t="s">
        <v>149</v>
      </c>
    </row>
    <row r="2422" spans="5:5" x14ac:dyDescent="0.25">
      <c r="E2422" t="s">
        <v>149</v>
      </c>
    </row>
    <row r="2423" spans="5:5" x14ac:dyDescent="0.25">
      <c r="E2423" t="s">
        <v>149</v>
      </c>
    </row>
    <row r="2424" spans="5:5" x14ac:dyDescent="0.25">
      <c r="E2424" t="s">
        <v>149</v>
      </c>
    </row>
    <row r="2425" spans="5:5" x14ac:dyDescent="0.25">
      <c r="E2425" t="s">
        <v>149</v>
      </c>
    </row>
    <row r="2426" spans="5:5" x14ac:dyDescent="0.25">
      <c r="E2426" t="s">
        <v>149</v>
      </c>
    </row>
    <row r="2427" spans="5:5" x14ac:dyDescent="0.25">
      <c r="E2427" t="s">
        <v>149</v>
      </c>
    </row>
    <row r="2428" spans="5:5" x14ac:dyDescent="0.25">
      <c r="E2428" t="s">
        <v>149</v>
      </c>
    </row>
    <row r="2429" spans="5:5" x14ac:dyDescent="0.25">
      <c r="E2429" t="s">
        <v>149</v>
      </c>
    </row>
    <row r="2430" spans="5:5" x14ac:dyDescent="0.25">
      <c r="E2430" t="s">
        <v>149</v>
      </c>
    </row>
    <row r="2431" spans="5:5" x14ac:dyDescent="0.25">
      <c r="E2431" t="s">
        <v>149</v>
      </c>
    </row>
    <row r="2432" spans="5:5" x14ac:dyDescent="0.25">
      <c r="E2432" t="s">
        <v>149</v>
      </c>
    </row>
    <row r="2433" spans="5:5" x14ac:dyDescent="0.25">
      <c r="E2433" t="s">
        <v>149</v>
      </c>
    </row>
    <row r="2434" spans="5:5" x14ac:dyDescent="0.25">
      <c r="E2434" t="s">
        <v>149</v>
      </c>
    </row>
    <row r="2435" spans="5:5" x14ac:dyDescent="0.25">
      <c r="E2435" t="s">
        <v>149</v>
      </c>
    </row>
    <row r="2436" spans="5:5" x14ac:dyDescent="0.25">
      <c r="E2436" t="s">
        <v>149</v>
      </c>
    </row>
    <row r="2437" spans="5:5" x14ac:dyDescent="0.25">
      <c r="E2437" t="s">
        <v>149</v>
      </c>
    </row>
    <row r="2438" spans="5:5" x14ac:dyDescent="0.25">
      <c r="E2438" t="s">
        <v>149</v>
      </c>
    </row>
    <row r="2439" spans="5:5" x14ac:dyDescent="0.25">
      <c r="E2439" t="s">
        <v>149</v>
      </c>
    </row>
    <row r="2440" spans="5:5" x14ac:dyDescent="0.25">
      <c r="E2440" t="s">
        <v>149</v>
      </c>
    </row>
    <row r="2441" spans="5:5" x14ac:dyDescent="0.25">
      <c r="E2441" t="s">
        <v>149</v>
      </c>
    </row>
    <row r="2442" spans="5:5" x14ac:dyDescent="0.25">
      <c r="E2442" t="s">
        <v>149</v>
      </c>
    </row>
    <row r="2443" spans="5:5" x14ac:dyDescent="0.25">
      <c r="E2443" t="s">
        <v>149</v>
      </c>
    </row>
    <row r="2444" spans="5:5" x14ac:dyDescent="0.25">
      <c r="E2444" t="s">
        <v>149</v>
      </c>
    </row>
    <row r="2445" spans="5:5" x14ac:dyDescent="0.25">
      <c r="E2445" t="s">
        <v>149</v>
      </c>
    </row>
    <row r="2446" spans="5:5" x14ac:dyDescent="0.25">
      <c r="E2446" t="s">
        <v>149</v>
      </c>
    </row>
    <row r="2447" spans="5:5" x14ac:dyDescent="0.25">
      <c r="E2447" t="s">
        <v>149</v>
      </c>
    </row>
    <row r="2448" spans="5:5" x14ac:dyDescent="0.25">
      <c r="E2448" t="s">
        <v>149</v>
      </c>
    </row>
    <row r="2449" spans="5:5" x14ac:dyDescent="0.25">
      <c r="E2449" t="s">
        <v>149</v>
      </c>
    </row>
    <row r="2450" spans="5:5" x14ac:dyDescent="0.25">
      <c r="E2450" t="s">
        <v>149</v>
      </c>
    </row>
    <row r="2451" spans="5:5" x14ac:dyDescent="0.25">
      <c r="E2451" t="s">
        <v>149</v>
      </c>
    </row>
    <row r="2452" spans="5:5" x14ac:dyDescent="0.25">
      <c r="E2452" t="s">
        <v>149</v>
      </c>
    </row>
    <row r="2453" spans="5:5" x14ac:dyDescent="0.25">
      <c r="E2453" t="s">
        <v>149</v>
      </c>
    </row>
    <row r="2454" spans="5:5" x14ac:dyDescent="0.25">
      <c r="E2454" t="s">
        <v>149</v>
      </c>
    </row>
    <row r="2455" spans="5:5" x14ac:dyDescent="0.25">
      <c r="E2455" t="s">
        <v>149</v>
      </c>
    </row>
    <row r="2456" spans="5:5" x14ac:dyDescent="0.25">
      <c r="E2456" t="s">
        <v>149</v>
      </c>
    </row>
    <row r="2457" spans="5:5" x14ac:dyDescent="0.25">
      <c r="E2457" t="s">
        <v>149</v>
      </c>
    </row>
    <row r="2458" spans="5:5" x14ac:dyDescent="0.25">
      <c r="E2458" t="s">
        <v>149</v>
      </c>
    </row>
    <row r="2459" spans="5:5" x14ac:dyDescent="0.25">
      <c r="E2459" t="s">
        <v>149</v>
      </c>
    </row>
    <row r="2460" spans="5:5" x14ac:dyDescent="0.25">
      <c r="E2460" t="s">
        <v>149</v>
      </c>
    </row>
    <row r="2461" spans="5:5" x14ac:dyDescent="0.25">
      <c r="E2461" t="s">
        <v>149</v>
      </c>
    </row>
    <row r="2462" spans="5:5" x14ac:dyDescent="0.25">
      <c r="E2462" t="s">
        <v>149</v>
      </c>
    </row>
    <row r="2463" spans="5:5" x14ac:dyDescent="0.25">
      <c r="E2463" t="s">
        <v>149</v>
      </c>
    </row>
    <row r="2464" spans="5:5" x14ac:dyDescent="0.25">
      <c r="E2464" t="s">
        <v>149</v>
      </c>
    </row>
    <row r="2465" spans="5:5" x14ac:dyDescent="0.25">
      <c r="E2465" t="s">
        <v>149</v>
      </c>
    </row>
    <row r="2466" spans="5:5" x14ac:dyDescent="0.25">
      <c r="E2466" t="s">
        <v>149</v>
      </c>
    </row>
    <row r="2467" spans="5:5" x14ac:dyDescent="0.25">
      <c r="E2467" t="s">
        <v>149</v>
      </c>
    </row>
    <row r="2468" spans="5:5" x14ac:dyDescent="0.25">
      <c r="E2468" t="s">
        <v>149</v>
      </c>
    </row>
    <row r="2469" spans="5:5" x14ac:dyDescent="0.25">
      <c r="E2469" t="s">
        <v>149</v>
      </c>
    </row>
    <row r="2470" spans="5:5" x14ac:dyDescent="0.25">
      <c r="E2470" t="s">
        <v>149</v>
      </c>
    </row>
    <row r="2471" spans="5:5" x14ac:dyDescent="0.25">
      <c r="E2471" t="s">
        <v>149</v>
      </c>
    </row>
    <row r="2472" spans="5:5" x14ac:dyDescent="0.25">
      <c r="E2472" t="s">
        <v>149</v>
      </c>
    </row>
    <row r="2473" spans="5:5" x14ac:dyDescent="0.25">
      <c r="E2473" t="s">
        <v>149</v>
      </c>
    </row>
    <row r="2474" spans="5:5" x14ac:dyDescent="0.25">
      <c r="E2474" t="s">
        <v>149</v>
      </c>
    </row>
    <row r="2475" spans="5:5" x14ac:dyDescent="0.25">
      <c r="E2475" t="s">
        <v>149</v>
      </c>
    </row>
    <row r="2476" spans="5:5" x14ac:dyDescent="0.25">
      <c r="E2476" t="s">
        <v>149</v>
      </c>
    </row>
    <row r="2477" spans="5:5" x14ac:dyDescent="0.25">
      <c r="E2477" t="s">
        <v>149</v>
      </c>
    </row>
    <row r="2478" spans="5:5" x14ac:dyDescent="0.25">
      <c r="E2478" t="s">
        <v>149</v>
      </c>
    </row>
    <row r="2479" spans="5:5" x14ac:dyDescent="0.25">
      <c r="E2479" t="s">
        <v>149</v>
      </c>
    </row>
    <row r="2480" spans="5:5" x14ac:dyDescent="0.25">
      <c r="E2480" t="s">
        <v>149</v>
      </c>
    </row>
    <row r="2481" spans="5:5" x14ac:dyDescent="0.25">
      <c r="E2481" t="s">
        <v>149</v>
      </c>
    </row>
    <row r="2482" spans="5:5" x14ac:dyDescent="0.25">
      <c r="E2482" t="s">
        <v>149</v>
      </c>
    </row>
    <row r="2483" spans="5:5" x14ac:dyDescent="0.25">
      <c r="E2483" t="s">
        <v>149</v>
      </c>
    </row>
    <row r="2484" spans="5:5" x14ac:dyDescent="0.25">
      <c r="E2484" t="s">
        <v>149</v>
      </c>
    </row>
    <row r="2485" spans="5:5" x14ac:dyDescent="0.25">
      <c r="E2485" t="s">
        <v>149</v>
      </c>
    </row>
    <row r="2486" spans="5:5" x14ac:dyDescent="0.25">
      <c r="E2486" t="s">
        <v>149</v>
      </c>
    </row>
    <row r="2487" spans="5:5" x14ac:dyDescent="0.25">
      <c r="E2487" t="s">
        <v>149</v>
      </c>
    </row>
    <row r="2488" spans="5:5" x14ac:dyDescent="0.25">
      <c r="E2488" t="s">
        <v>149</v>
      </c>
    </row>
    <row r="2489" spans="5:5" x14ac:dyDescent="0.25">
      <c r="E2489" t="s">
        <v>149</v>
      </c>
    </row>
    <row r="2490" spans="5:5" x14ac:dyDescent="0.25">
      <c r="E2490" t="s">
        <v>149</v>
      </c>
    </row>
    <row r="2491" spans="5:5" x14ac:dyDescent="0.25">
      <c r="E2491" t="s">
        <v>149</v>
      </c>
    </row>
    <row r="2492" spans="5:5" x14ac:dyDescent="0.25">
      <c r="E2492" t="s">
        <v>149</v>
      </c>
    </row>
    <row r="2493" spans="5:5" x14ac:dyDescent="0.25">
      <c r="E2493" t="s">
        <v>149</v>
      </c>
    </row>
    <row r="2494" spans="5:5" x14ac:dyDescent="0.25">
      <c r="E2494" t="s">
        <v>149</v>
      </c>
    </row>
    <row r="2495" spans="5:5" x14ac:dyDescent="0.25">
      <c r="E2495" t="s">
        <v>149</v>
      </c>
    </row>
    <row r="2496" spans="5:5" x14ac:dyDescent="0.25">
      <c r="E2496" t="s">
        <v>149</v>
      </c>
    </row>
    <row r="2497" spans="5:5" x14ac:dyDescent="0.25">
      <c r="E2497" t="s">
        <v>149</v>
      </c>
    </row>
    <row r="2498" spans="5:5" x14ac:dyDescent="0.25">
      <c r="E2498" t="s">
        <v>149</v>
      </c>
    </row>
    <row r="2499" spans="5:5" x14ac:dyDescent="0.25">
      <c r="E2499" t="s">
        <v>149</v>
      </c>
    </row>
    <row r="2500" spans="5:5" x14ac:dyDescent="0.25">
      <c r="E2500" t="s">
        <v>149</v>
      </c>
    </row>
    <row r="2501" spans="5:5" x14ac:dyDescent="0.25">
      <c r="E2501" t="s">
        <v>149</v>
      </c>
    </row>
    <row r="2502" spans="5:5" x14ac:dyDescent="0.25">
      <c r="E2502" t="s">
        <v>149</v>
      </c>
    </row>
    <row r="2503" spans="5:5" x14ac:dyDescent="0.25">
      <c r="E2503" t="s">
        <v>149</v>
      </c>
    </row>
    <row r="2504" spans="5:5" x14ac:dyDescent="0.25">
      <c r="E2504" t="s">
        <v>149</v>
      </c>
    </row>
    <row r="2505" spans="5:5" x14ac:dyDescent="0.25">
      <c r="E2505" t="s">
        <v>149</v>
      </c>
    </row>
    <row r="2506" spans="5:5" x14ac:dyDescent="0.25">
      <c r="E2506" t="s">
        <v>149</v>
      </c>
    </row>
    <row r="2507" spans="5:5" x14ac:dyDescent="0.25">
      <c r="E2507" t="s">
        <v>149</v>
      </c>
    </row>
    <row r="2508" spans="5:5" x14ac:dyDescent="0.25">
      <c r="E2508" t="s">
        <v>149</v>
      </c>
    </row>
    <row r="2509" spans="5:5" x14ac:dyDescent="0.25">
      <c r="E2509" t="s">
        <v>149</v>
      </c>
    </row>
    <row r="2510" spans="5:5" x14ac:dyDescent="0.25">
      <c r="E2510" t="s">
        <v>149</v>
      </c>
    </row>
    <row r="2511" spans="5:5" x14ac:dyDescent="0.25">
      <c r="E2511" t="s">
        <v>149</v>
      </c>
    </row>
    <row r="2512" spans="5:5" x14ac:dyDescent="0.25">
      <c r="E2512" t="s">
        <v>149</v>
      </c>
    </row>
    <row r="2513" spans="5:5" x14ac:dyDescent="0.25">
      <c r="E2513" t="s">
        <v>149</v>
      </c>
    </row>
    <row r="2514" spans="5:5" x14ac:dyDescent="0.25">
      <c r="E2514" t="s">
        <v>149</v>
      </c>
    </row>
    <row r="2515" spans="5:5" x14ac:dyDescent="0.25">
      <c r="E2515" t="s">
        <v>149</v>
      </c>
    </row>
    <row r="2516" spans="5:5" x14ac:dyDescent="0.25">
      <c r="E2516" t="s">
        <v>149</v>
      </c>
    </row>
    <row r="2517" spans="5:5" x14ac:dyDescent="0.25">
      <c r="E2517" t="s">
        <v>149</v>
      </c>
    </row>
    <row r="2518" spans="5:5" x14ac:dyDescent="0.25">
      <c r="E2518" t="s">
        <v>149</v>
      </c>
    </row>
    <row r="2519" spans="5:5" x14ac:dyDescent="0.25">
      <c r="E2519" t="s">
        <v>149</v>
      </c>
    </row>
    <row r="2520" spans="5:5" x14ac:dyDescent="0.25">
      <c r="E2520" t="s">
        <v>149</v>
      </c>
    </row>
    <row r="2521" spans="5:5" x14ac:dyDescent="0.25">
      <c r="E2521" t="s">
        <v>149</v>
      </c>
    </row>
    <row r="2522" spans="5:5" x14ac:dyDescent="0.25">
      <c r="E2522" t="s">
        <v>149</v>
      </c>
    </row>
    <row r="2523" spans="5:5" x14ac:dyDescent="0.25">
      <c r="E2523" t="s">
        <v>149</v>
      </c>
    </row>
    <row r="2524" spans="5:5" x14ac:dyDescent="0.25">
      <c r="E2524" t="s">
        <v>149</v>
      </c>
    </row>
    <row r="2525" spans="5:5" x14ac:dyDescent="0.25">
      <c r="E2525" t="s">
        <v>149</v>
      </c>
    </row>
    <row r="2526" spans="5:5" x14ac:dyDescent="0.25">
      <c r="E2526" t="s">
        <v>149</v>
      </c>
    </row>
    <row r="2527" spans="5:5" x14ac:dyDescent="0.25">
      <c r="E2527" t="s">
        <v>149</v>
      </c>
    </row>
    <row r="2528" spans="5:5" x14ac:dyDescent="0.25">
      <c r="E2528" t="s">
        <v>149</v>
      </c>
    </row>
    <row r="2529" spans="5:5" x14ac:dyDescent="0.25">
      <c r="E2529" t="s">
        <v>149</v>
      </c>
    </row>
    <row r="2530" spans="5:5" x14ac:dyDescent="0.25">
      <c r="E2530" t="s">
        <v>149</v>
      </c>
    </row>
    <row r="2531" spans="5:5" x14ac:dyDescent="0.25">
      <c r="E2531" t="s">
        <v>149</v>
      </c>
    </row>
    <row r="2532" spans="5:5" x14ac:dyDescent="0.25">
      <c r="E2532" t="s">
        <v>149</v>
      </c>
    </row>
    <row r="2533" spans="5:5" x14ac:dyDescent="0.25">
      <c r="E2533" t="s">
        <v>149</v>
      </c>
    </row>
    <row r="2534" spans="5:5" x14ac:dyDescent="0.25">
      <c r="E2534" t="s">
        <v>149</v>
      </c>
    </row>
    <row r="2535" spans="5:5" x14ac:dyDescent="0.25">
      <c r="E2535" t="s">
        <v>149</v>
      </c>
    </row>
    <row r="2536" spans="5:5" x14ac:dyDescent="0.25">
      <c r="E2536" t="s">
        <v>149</v>
      </c>
    </row>
    <row r="2537" spans="5:5" x14ac:dyDescent="0.25">
      <c r="E2537" t="s">
        <v>149</v>
      </c>
    </row>
    <row r="2538" spans="5:5" x14ac:dyDescent="0.25">
      <c r="E2538" t="s">
        <v>149</v>
      </c>
    </row>
    <row r="2539" spans="5:5" x14ac:dyDescent="0.25">
      <c r="E2539" t="s">
        <v>149</v>
      </c>
    </row>
    <row r="2540" spans="5:5" x14ac:dyDescent="0.25">
      <c r="E2540" t="s">
        <v>149</v>
      </c>
    </row>
    <row r="2541" spans="5:5" x14ac:dyDescent="0.25">
      <c r="E2541" t="s">
        <v>149</v>
      </c>
    </row>
    <row r="2542" spans="5:5" x14ac:dyDescent="0.25">
      <c r="E2542" t="s">
        <v>149</v>
      </c>
    </row>
    <row r="2543" spans="5:5" x14ac:dyDescent="0.25">
      <c r="E2543" t="s">
        <v>149</v>
      </c>
    </row>
    <row r="2544" spans="5:5" x14ac:dyDescent="0.25">
      <c r="E2544" t="s">
        <v>149</v>
      </c>
    </row>
    <row r="2545" spans="5:5" x14ac:dyDescent="0.25">
      <c r="E2545" t="s">
        <v>149</v>
      </c>
    </row>
    <row r="2546" spans="5:5" x14ac:dyDescent="0.25">
      <c r="E2546" t="s">
        <v>149</v>
      </c>
    </row>
    <row r="2547" spans="5:5" x14ac:dyDescent="0.25">
      <c r="E2547" t="s">
        <v>149</v>
      </c>
    </row>
    <row r="2548" spans="5:5" x14ac:dyDescent="0.25">
      <c r="E2548" t="s">
        <v>149</v>
      </c>
    </row>
    <row r="2549" spans="5:5" x14ac:dyDescent="0.25">
      <c r="E2549" t="s">
        <v>149</v>
      </c>
    </row>
    <row r="2550" spans="5:5" x14ac:dyDescent="0.25">
      <c r="E2550" t="s">
        <v>149</v>
      </c>
    </row>
    <row r="2551" spans="5:5" x14ac:dyDescent="0.25">
      <c r="E2551" t="s">
        <v>149</v>
      </c>
    </row>
    <row r="2552" spans="5:5" x14ac:dyDescent="0.25">
      <c r="E2552" t="s">
        <v>149</v>
      </c>
    </row>
    <row r="2553" spans="5:5" x14ac:dyDescent="0.25">
      <c r="E2553" t="s">
        <v>149</v>
      </c>
    </row>
    <row r="2554" spans="5:5" x14ac:dyDescent="0.25">
      <c r="E2554" t="s">
        <v>149</v>
      </c>
    </row>
    <row r="2555" spans="5:5" x14ac:dyDescent="0.25">
      <c r="E2555" t="s">
        <v>149</v>
      </c>
    </row>
    <row r="2556" spans="5:5" x14ac:dyDescent="0.25">
      <c r="E2556" t="s">
        <v>149</v>
      </c>
    </row>
    <row r="2557" spans="5:5" x14ac:dyDescent="0.25">
      <c r="E2557" t="s">
        <v>149</v>
      </c>
    </row>
    <row r="2558" spans="5:5" x14ac:dyDescent="0.25">
      <c r="E2558" t="s">
        <v>149</v>
      </c>
    </row>
    <row r="2559" spans="5:5" x14ac:dyDescent="0.25">
      <c r="E2559" t="s">
        <v>149</v>
      </c>
    </row>
    <row r="2560" spans="5:5" x14ac:dyDescent="0.25">
      <c r="E2560" t="s">
        <v>149</v>
      </c>
    </row>
    <row r="2561" spans="5:5" x14ac:dyDescent="0.25">
      <c r="E2561" t="s">
        <v>149</v>
      </c>
    </row>
    <row r="2562" spans="5:5" x14ac:dyDescent="0.25">
      <c r="E2562" t="s">
        <v>149</v>
      </c>
    </row>
    <row r="2563" spans="5:5" x14ac:dyDescent="0.25">
      <c r="E2563" t="s">
        <v>149</v>
      </c>
    </row>
    <row r="2564" spans="5:5" x14ac:dyDescent="0.25">
      <c r="E2564" t="s">
        <v>149</v>
      </c>
    </row>
    <row r="2565" spans="5:5" x14ac:dyDescent="0.25">
      <c r="E2565" t="s">
        <v>149</v>
      </c>
    </row>
    <row r="2566" spans="5:5" x14ac:dyDescent="0.25">
      <c r="E2566" t="s">
        <v>149</v>
      </c>
    </row>
    <row r="2567" spans="5:5" x14ac:dyDescent="0.25">
      <c r="E2567" t="s">
        <v>149</v>
      </c>
    </row>
    <row r="2568" spans="5:5" x14ac:dyDescent="0.25">
      <c r="E2568" t="s">
        <v>149</v>
      </c>
    </row>
    <row r="2569" spans="5:5" x14ac:dyDescent="0.25">
      <c r="E2569" t="s">
        <v>149</v>
      </c>
    </row>
    <row r="2570" spans="5:5" x14ac:dyDescent="0.25">
      <c r="E2570" t="s">
        <v>149</v>
      </c>
    </row>
    <row r="2571" spans="5:5" x14ac:dyDescent="0.25">
      <c r="E2571" t="s">
        <v>149</v>
      </c>
    </row>
    <row r="2572" spans="5:5" x14ac:dyDescent="0.25">
      <c r="E2572" t="s">
        <v>149</v>
      </c>
    </row>
    <row r="2573" spans="5:5" x14ac:dyDescent="0.25">
      <c r="E2573" t="s">
        <v>149</v>
      </c>
    </row>
    <row r="2574" spans="5:5" x14ac:dyDescent="0.25">
      <c r="E2574" t="s">
        <v>149</v>
      </c>
    </row>
    <row r="2575" spans="5:5" x14ac:dyDescent="0.25">
      <c r="E2575" t="s">
        <v>149</v>
      </c>
    </row>
    <row r="2576" spans="5:5" x14ac:dyDescent="0.25">
      <c r="E2576" t="s">
        <v>149</v>
      </c>
    </row>
    <row r="2577" spans="5:5" x14ac:dyDescent="0.25">
      <c r="E2577" t="s">
        <v>149</v>
      </c>
    </row>
    <row r="2578" spans="5:5" x14ac:dyDescent="0.25">
      <c r="E2578" t="s">
        <v>149</v>
      </c>
    </row>
    <row r="2579" spans="5:5" x14ac:dyDescent="0.25">
      <c r="E2579" t="s">
        <v>149</v>
      </c>
    </row>
    <row r="2580" spans="5:5" x14ac:dyDescent="0.25">
      <c r="E2580" t="s">
        <v>149</v>
      </c>
    </row>
    <row r="2581" spans="5:5" x14ac:dyDescent="0.25">
      <c r="E2581" t="s">
        <v>149</v>
      </c>
    </row>
    <row r="2582" spans="5:5" x14ac:dyDescent="0.25">
      <c r="E2582" t="s">
        <v>149</v>
      </c>
    </row>
    <row r="2583" spans="5:5" x14ac:dyDescent="0.25">
      <c r="E2583" t="s">
        <v>149</v>
      </c>
    </row>
    <row r="2584" spans="5:5" x14ac:dyDescent="0.25">
      <c r="E2584" t="s">
        <v>149</v>
      </c>
    </row>
    <row r="2585" spans="5:5" x14ac:dyDescent="0.25">
      <c r="E2585" t="s">
        <v>149</v>
      </c>
    </row>
    <row r="2586" spans="5:5" x14ac:dyDescent="0.25">
      <c r="E2586" t="s">
        <v>149</v>
      </c>
    </row>
    <row r="2587" spans="5:5" x14ac:dyDescent="0.25">
      <c r="E2587" t="s">
        <v>149</v>
      </c>
    </row>
    <row r="2588" spans="5:5" x14ac:dyDescent="0.25">
      <c r="E2588" t="s">
        <v>149</v>
      </c>
    </row>
    <row r="2589" spans="5:5" x14ac:dyDescent="0.25">
      <c r="E2589" t="s">
        <v>149</v>
      </c>
    </row>
    <row r="2590" spans="5:5" x14ac:dyDescent="0.25">
      <c r="E2590" t="s">
        <v>149</v>
      </c>
    </row>
    <row r="2591" spans="5:5" x14ac:dyDescent="0.25">
      <c r="E2591" t="s">
        <v>149</v>
      </c>
    </row>
    <row r="2592" spans="5:5" x14ac:dyDescent="0.25">
      <c r="E2592" t="s">
        <v>149</v>
      </c>
    </row>
    <row r="2593" spans="5:5" x14ac:dyDescent="0.25">
      <c r="E2593" t="s">
        <v>149</v>
      </c>
    </row>
    <row r="2594" spans="5:5" x14ac:dyDescent="0.25">
      <c r="E2594" t="s">
        <v>149</v>
      </c>
    </row>
    <row r="2595" spans="5:5" x14ac:dyDescent="0.25">
      <c r="E2595" t="s">
        <v>149</v>
      </c>
    </row>
    <row r="2596" spans="5:5" x14ac:dyDescent="0.25">
      <c r="E2596" t="s">
        <v>149</v>
      </c>
    </row>
    <row r="2597" spans="5:5" x14ac:dyDescent="0.25">
      <c r="E2597" t="s">
        <v>149</v>
      </c>
    </row>
    <row r="2598" spans="5:5" x14ac:dyDescent="0.25">
      <c r="E2598" t="s">
        <v>149</v>
      </c>
    </row>
    <row r="2599" spans="5:5" x14ac:dyDescent="0.25">
      <c r="E2599" t="s">
        <v>149</v>
      </c>
    </row>
    <row r="2600" spans="5:5" x14ac:dyDescent="0.25">
      <c r="E2600" t="s">
        <v>149</v>
      </c>
    </row>
    <row r="2601" spans="5:5" x14ac:dyDescent="0.25">
      <c r="E2601" t="s">
        <v>149</v>
      </c>
    </row>
    <row r="2602" spans="5:5" x14ac:dyDescent="0.25">
      <c r="E2602" t="s">
        <v>149</v>
      </c>
    </row>
    <row r="2603" spans="5:5" x14ac:dyDescent="0.25">
      <c r="E2603" t="s">
        <v>149</v>
      </c>
    </row>
    <row r="2604" spans="5:5" x14ac:dyDescent="0.25">
      <c r="E2604" t="s">
        <v>149</v>
      </c>
    </row>
    <row r="2605" spans="5:5" x14ac:dyDescent="0.25">
      <c r="E2605" t="s">
        <v>149</v>
      </c>
    </row>
    <row r="2606" spans="5:5" x14ac:dyDescent="0.25">
      <c r="E2606" t="s">
        <v>149</v>
      </c>
    </row>
    <row r="2607" spans="5:5" x14ac:dyDescent="0.25">
      <c r="E2607" t="s">
        <v>149</v>
      </c>
    </row>
    <row r="2608" spans="5:5" x14ac:dyDescent="0.25">
      <c r="E2608" t="s">
        <v>149</v>
      </c>
    </row>
    <row r="2609" spans="5:5" x14ac:dyDescent="0.25">
      <c r="E2609" t="s">
        <v>149</v>
      </c>
    </row>
    <row r="2610" spans="5:5" x14ac:dyDescent="0.25">
      <c r="E2610" t="s">
        <v>149</v>
      </c>
    </row>
    <row r="2611" spans="5:5" x14ac:dyDescent="0.25">
      <c r="E2611" t="s">
        <v>149</v>
      </c>
    </row>
    <row r="2612" spans="5:5" x14ac:dyDescent="0.25">
      <c r="E2612" t="s">
        <v>149</v>
      </c>
    </row>
    <row r="2613" spans="5:5" x14ac:dyDescent="0.25">
      <c r="E2613" t="s">
        <v>149</v>
      </c>
    </row>
    <row r="2614" spans="5:5" x14ac:dyDescent="0.25">
      <c r="E2614" t="s">
        <v>149</v>
      </c>
    </row>
    <row r="2615" spans="5:5" x14ac:dyDescent="0.25">
      <c r="E2615" t="s">
        <v>149</v>
      </c>
    </row>
    <row r="2616" spans="5:5" x14ac:dyDescent="0.25">
      <c r="E2616" t="s">
        <v>149</v>
      </c>
    </row>
    <row r="2617" spans="5:5" x14ac:dyDescent="0.25">
      <c r="E2617" t="s">
        <v>149</v>
      </c>
    </row>
    <row r="2618" spans="5:5" x14ac:dyDescent="0.25">
      <c r="E2618" t="s">
        <v>149</v>
      </c>
    </row>
    <row r="2619" spans="5:5" x14ac:dyDescent="0.25">
      <c r="E2619" t="s">
        <v>149</v>
      </c>
    </row>
    <row r="2620" spans="5:5" x14ac:dyDescent="0.25">
      <c r="E2620" t="s">
        <v>149</v>
      </c>
    </row>
    <row r="2621" spans="5:5" x14ac:dyDescent="0.25">
      <c r="E2621" t="s">
        <v>149</v>
      </c>
    </row>
    <row r="2622" spans="5:5" x14ac:dyDescent="0.25">
      <c r="E2622" t="s">
        <v>149</v>
      </c>
    </row>
    <row r="2623" spans="5:5" x14ac:dyDescent="0.25">
      <c r="E2623" t="s">
        <v>149</v>
      </c>
    </row>
    <row r="2624" spans="5:5" x14ac:dyDescent="0.25">
      <c r="E2624" t="s">
        <v>149</v>
      </c>
    </row>
    <row r="2625" spans="5:5" x14ac:dyDescent="0.25">
      <c r="E2625" t="s">
        <v>149</v>
      </c>
    </row>
    <row r="2626" spans="5:5" x14ac:dyDescent="0.25">
      <c r="E2626" t="s">
        <v>149</v>
      </c>
    </row>
    <row r="2627" spans="5:5" x14ac:dyDescent="0.25">
      <c r="E2627" t="s">
        <v>149</v>
      </c>
    </row>
    <row r="2628" spans="5:5" x14ac:dyDescent="0.25">
      <c r="E2628" t="s">
        <v>149</v>
      </c>
    </row>
    <row r="2629" spans="5:5" x14ac:dyDescent="0.25">
      <c r="E2629" t="s">
        <v>149</v>
      </c>
    </row>
    <row r="2630" spans="5:5" x14ac:dyDescent="0.25">
      <c r="E2630" t="s">
        <v>149</v>
      </c>
    </row>
    <row r="2631" spans="5:5" x14ac:dyDescent="0.25">
      <c r="E2631" t="s">
        <v>149</v>
      </c>
    </row>
    <row r="2632" spans="5:5" x14ac:dyDescent="0.25">
      <c r="E2632" t="s">
        <v>149</v>
      </c>
    </row>
    <row r="2633" spans="5:5" x14ac:dyDescent="0.25">
      <c r="E2633" t="s">
        <v>149</v>
      </c>
    </row>
    <row r="2634" spans="5:5" x14ac:dyDescent="0.25">
      <c r="E2634" t="s">
        <v>149</v>
      </c>
    </row>
    <row r="2635" spans="5:5" x14ac:dyDescent="0.25">
      <c r="E2635" t="s">
        <v>149</v>
      </c>
    </row>
    <row r="2636" spans="5:5" x14ac:dyDescent="0.25">
      <c r="E2636" t="s">
        <v>149</v>
      </c>
    </row>
    <row r="2637" spans="5:5" x14ac:dyDescent="0.25">
      <c r="E2637" t="s">
        <v>149</v>
      </c>
    </row>
    <row r="2638" spans="5:5" x14ac:dyDescent="0.25">
      <c r="E2638" t="s">
        <v>149</v>
      </c>
    </row>
    <row r="2639" spans="5:5" x14ac:dyDescent="0.25">
      <c r="E2639" t="s">
        <v>149</v>
      </c>
    </row>
    <row r="2640" spans="5:5" x14ac:dyDescent="0.25">
      <c r="E2640" t="s">
        <v>149</v>
      </c>
    </row>
    <row r="2641" spans="5:5" x14ac:dyDescent="0.25">
      <c r="E2641" t="s">
        <v>149</v>
      </c>
    </row>
    <row r="2642" spans="5:5" x14ac:dyDescent="0.25">
      <c r="E2642" t="s">
        <v>149</v>
      </c>
    </row>
    <row r="2643" spans="5:5" x14ac:dyDescent="0.25">
      <c r="E2643" t="s">
        <v>149</v>
      </c>
    </row>
    <row r="2644" spans="5:5" x14ac:dyDescent="0.25">
      <c r="E2644" t="s">
        <v>149</v>
      </c>
    </row>
    <row r="2645" spans="5:5" x14ac:dyDescent="0.25">
      <c r="E2645" t="s">
        <v>149</v>
      </c>
    </row>
    <row r="2646" spans="5:5" x14ac:dyDescent="0.25">
      <c r="E2646" t="s">
        <v>149</v>
      </c>
    </row>
    <row r="2647" spans="5:5" x14ac:dyDescent="0.25">
      <c r="E2647" t="s">
        <v>149</v>
      </c>
    </row>
    <row r="2648" spans="5:5" x14ac:dyDescent="0.25">
      <c r="E2648" t="s">
        <v>149</v>
      </c>
    </row>
    <row r="2649" spans="5:5" x14ac:dyDescent="0.25">
      <c r="E2649" t="s">
        <v>149</v>
      </c>
    </row>
    <row r="2650" spans="5:5" x14ac:dyDescent="0.25">
      <c r="E2650" t="s">
        <v>149</v>
      </c>
    </row>
    <row r="2651" spans="5:5" x14ac:dyDescent="0.25">
      <c r="E2651" t="s">
        <v>149</v>
      </c>
    </row>
    <row r="2652" spans="5:5" x14ac:dyDescent="0.25">
      <c r="E2652" t="s">
        <v>149</v>
      </c>
    </row>
    <row r="2653" spans="5:5" x14ac:dyDescent="0.25">
      <c r="E2653" t="s">
        <v>149</v>
      </c>
    </row>
    <row r="2654" spans="5:5" x14ac:dyDescent="0.25">
      <c r="E2654" t="s">
        <v>149</v>
      </c>
    </row>
    <row r="2655" spans="5:5" x14ac:dyDescent="0.25">
      <c r="E2655" t="s">
        <v>149</v>
      </c>
    </row>
    <row r="2656" spans="5:5" x14ac:dyDescent="0.25">
      <c r="E2656" t="s">
        <v>149</v>
      </c>
    </row>
    <row r="2657" spans="5:5" x14ac:dyDescent="0.25">
      <c r="E2657" t="s">
        <v>149</v>
      </c>
    </row>
    <row r="2658" spans="5:5" x14ac:dyDescent="0.25">
      <c r="E2658" t="s">
        <v>149</v>
      </c>
    </row>
    <row r="2659" spans="5:5" x14ac:dyDescent="0.25">
      <c r="E2659" t="s">
        <v>149</v>
      </c>
    </row>
    <row r="2660" spans="5:5" x14ac:dyDescent="0.25">
      <c r="E2660" t="s">
        <v>149</v>
      </c>
    </row>
    <row r="2661" spans="5:5" x14ac:dyDescent="0.25">
      <c r="E2661" t="s">
        <v>149</v>
      </c>
    </row>
    <row r="2662" spans="5:5" x14ac:dyDescent="0.25">
      <c r="E2662" t="s">
        <v>149</v>
      </c>
    </row>
    <row r="2663" spans="5:5" x14ac:dyDescent="0.25">
      <c r="E2663" t="s">
        <v>149</v>
      </c>
    </row>
    <row r="2664" spans="5:5" x14ac:dyDescent="0.25">
      <c r="E2664" t="s">
        <v>149</v>
      </c>
    </row>
    <row r="2665" spans="5:5" x14ac:dyDescent="0.25">
      <c r="E2665" t="s">
        <v>149</v>
      </c>
    </row>
    <row r="2666" spans="5:5" x14ac:dyDescent="0.25">
      <c r="E2666" t="s">
        <v>149</v>
      </c>
    </row>
    <row r="2667" spans="5:5" x14ac:dyDescent="0.25">
      <c r="E2667" t="s">
        <v>149</v>
      </c>
    </row>
    <row r="2668" spans="5:5" x14ac:dyDescent="0.25">
      <c r="E2668" t="s">
        <v>149</v>
      </c>
    </row>
    <row r="2669" spans="5:5" x14ac:dyDescent="0.25">
      <c r="E2669" t="s">
        <v>149</v>
      </c>
    </row>
    <row r="2670" spans="5:5" x14ac:dyDescent="0.25">
      <c r="E2670" t="s">
        <v>149</v>
      </c>
    </row>
    <row r="2671" spans="5:5" x14ac:dyDescent="0.25">
      <c r="E2671" t="s">
        <v>149</v>
      </c>
    </row>
    <row r="2672" spans="5:5" x14ac:dyDescent="0.25">
      <c r="E2672" t="s">
        <v>149</v>
      </c>
    </row>
    <row r="2673" spans="5:5" x14ac:dyDescent="0.25">
      <c r="E2673" t="s">
        <v>149</v>
      </c>
    </row>
    <row r="2674" spans="5:5" x14ac:dyDescent="0.25">
      <c r="E2674" t="s">
        <v>149</v>
      </c>
    </row>
    <row r="2675" spans="5:5" x14ac:dyDescent="0.25">
      <c r="E2675" t="s">
        <v>149</v>
      </c>
    </row>
    <row r="2676" spans="5:5" x14ac:dyDescent="0.25">
      <c r="E2676" t="s">
        <v>149</v>
      </c>
    </row>
    <row r="2677" spans="5:5" x14ac:dyDescent="0.25">
      <c r="E2677" t="s">
        <v>149</v>
      </c>
    </row>
    <row r="2678" spans="5:5" x14ac:dyDescent="0.25">
      <c r="E2678" t="s">
        <v>149</v>
      </c>
    </row>
    <row r="2679" spans="5:5" x14ac:dyDescent="0.25">
      <c r="E2679" t="s">
        <v>149</v>
      </c>
    </row>
    <row r="2680" spans="5:5" x14ac:dyDescent="0.25">
      <c r="E2680" t="s">
        <v>149</v>
      </c>
    </row>
    <row r="2681" spans="5:5" x14ac:dyDescent="0.25">
      <c r="E2681" t="s">
        <v>149</v>
      </c>
    </row>
    <row r="2682" spans="5:5" x14ac:dyDescent="0.25">
      <c r="E2682" t="s">
        <v>149</v>
      </c>
    </row>
    <row r="2683" spans="5:5" x14ac:dyDescent="0.25">
      <c r="E2683" t="s">
        <v>149</v>
      </c>
    </row>
    <row r="2684" spans="5:5" x14ac:dyDescent="0.25">
      <c r="E2684" t="s">
        <v>149</v>
      </c>
    </row>
    <row r="2685" spans="5:5" x14ac:dyDescent="0.25">
      <c r="E2685" t="s">
        <v>149</v>
      </c>
    </row>
    <row r="2686" spans="5:5" x14ac:dyDescent="0.25">
      <c r="E2686" t="s">
        <v>149</v>
      </c>
    </row>
    <row r="2687" spans="5:5" x14ac:dyDescent="0.25">
      <c r="E2687" t="s">
        <v>149</v>
      </c>
    </row>
    <row r="2688" spans="5:5" x14ac:dyDescent="0.25">
      <c r="E2688" t="s">
        <v>149</v>
      </c>
    </row>
    <row r="2689" spans="5:5" x14ac:dyDescent="0.25">
      <c r="E2689" t="s">
        <v>149</v>
      </c>
    </row>
    <row r="2690" spans="5:5" x14ac:dyDescent="0.25">
      <c r="E2690" t="s">
        <v>149</v>
      </c>
    </row>
    <row r="2691" spans="5:5" x14ac:dyDescent="0.25">
      <c r="E2691" t="s">
        <v>149</v>
      </c>
    </row>
    <row r="2692" spans="5:5" x14ac:dyDescent="0.25">
      <c r="E2692" t="s">
        <v>149</v>
      </c>
    </row>
    <row r="2693" spans="5:5" x14ac:dyDescent="0.25">
      <c r="E2693" t="s">
        <v>149</v>
      </c>
    </row>
    <row r="2694" spans="5:5" x14ac:dyDescent="0.25">
      <c r="E2694" t="s">
        <v>149</v>
      </c>
    </row>
    <row r="2695" spans="5:5" x14ac:dyDescent="0.25">
      <c r="E2695" t="s">
        <v>149</v>
      </c>
    </row>
    <row r="2696" spans="5:5" x14ac:dyDescent="0.25">
      <c r="E2696" t="s">
        <v>149</v>
      </c>
    </row>
    <row r="2697" spans="5:5" x14ac:dyDescent="0.25">
      <c r="E2697" t="s">
        <v>149</v>
      </c>
    </row>
    <row r="2698" spans="5:5" x14ac:dyDescent="0.25">
      <c r="E2698" t="s">
        <v>149</v>
      </c>
    </row>
    <row r="2699" spans="5:5" x14ac:dyDescent="0.25">
      <c r="E2699" t="s">
        <v>149</v>
      </c>
    </row>
    <row r="2700" spans="5:5" x14ac:dyDescent="0.25">
      <c r="E2700" t="s">
        <v>149</v>
      </c>
    </row>
    <row r="2701" spans="5:5" x14ac:dyDescent="0.25">
      <c r="E2701" t="s">
        <v>149</v>
      </c>
    </row>
    <row r="2702" spans="5:5" x14ac:dyDescent="0.25">
      <c r="E2702" t="s">
        <v>149</v>
      </c>
    </row>
    <row r="2703" spans="5:5" x14ac:dyDescent="0.25">
      <c r="E2703" t="s">
        <v>149</v>
      </c>
    </row>
    <row r="2704" spans="5:5" x14ac:dyDescent="0.25">
      <c r="E2704" t="s">
        <v>149</v>
      </c>
    </row>
    <row r="2705" spans="5:5" x14ac:dyDescent="0.25">
      <c r="E2705" t="s">
        <v>149</v>
      </c>
    </row>
    <row r="2706" spans="5:5" x14ac:dyDescent="0.25">
      <c r="E2706" t="s">
        <v>149</v>
      </c>
    </row>
    <row r="2707" spans="5:5" x14ac:dyDescent="0.25">
      <c r="E2707" t="s">
        <v>149</v>
      </c>
    </row>
    <row r="2708" spans="5:5" x14ac:dyDescent="0.25">
      <c r="E2708" t="s">
        <v>149</v>
      </c>
    </row>
    <row r="2709" spans="5:5" x14ac:dyDescent="0.25">
      <c r="E2709" t="s">
        <v>149</v>
      </c>
    </row>
    <row r="2710" spans="5:5" x14ac:dyDescent="0.25">
      <c r="E2710" t="s">
        <v>149</v>
      </c>
    </row>
    <row r="2711" spans="5:5" x14ac:dyDescent="0.25">
      <c r="E2711" t="s">
        <v>149</v>
      </c>
    </row>
    <row r="2712" spans="5:5" x14ac:dyDescent="0.25">
      <c r="E2712" t="s">
        <v>149</v>
      </c>
    </row>
    <row r="2713" spans="5:5" x14ac:dyDescent="0.25">
      <c r="E2713" t="s">
        <v>149</v>
      </c>
    </row>
    <row r="2714" spans="5:5" x14ac:dyDescent="0.25">
      <c r="E2714" t="s">
        <v>149</v>
      </c>
    </row>
    <row r="2715" spans="5:5" x14ac:dyDescent="0.25">
      <c r="E2715" t="s">
        <v>149</v>
      </c>
    </row>
    <row r="2716" spans="5:5" x14ac:dyDescent="0.25">
      <c r="E2716" t="s">
        <v>149</v>
      </c>
    </row>
    <row r="2717" spans="5:5" x14ac:dyDescent="0.25">
      <c r="E2717" t="s">
        <v>149</v>
      </c>
    </row>
    <row r="2718" spans="5:5" x14ac:dyDescent="0.25">
      <c r="E2718" t="s">
        <v>149</v>
      </c>
    </row>
    <row r="2719" spans="5:5" x14ac:dyDescent="0.25">
      <c r="E2719" t="s">
        <v>149</v>
      </c>
    </row>
    <row r="2720" spans="5:5" x14ac:dyDescent="0.25">
      <c r="E2720" t="s">
        <v>149</v>
      </c>
    </row>
    <row r="2721" spans="5:5" x14ac:dyDescent="0.25">
      <c r="E2721" t="s">
        <v>149</v>
      </c>
    </row>
    <row r="2722" spans="5:5" x14ac:dyDescent="0.25">
      <c r="E2722" t="s">
        <v>149</v>
      </c>
    </row>
    <row r="2723" spans="5:5" x14ac:dyDescent="0.25">
      <c r="E2723" t="s">
        <v>149</v>
      </c>
    </row>
    <row r="2724" spans="5:5" x14ac:dyDescent="0.25">
      <c r="E2724" t="s">
        <v>149</v>
      </c>
    </row>
    <row r="2725" spans="5:5" x14ac:dyDescent="0.25">
      <c r="E2725" t="s">
        <v>149</v>
      </c>
    </row>
    <row r="2726" spans="5:5" x14ac:dyDescent="0.25">
      <c r="E2726" t="s">
        <v>149</v>
      </c>
    </row>
    <row r="2727" spans="5:5" x14ac:dyDescent="0.25">
      <c r="E2727" t="s">
        <v>149</v>
      </c>
    </row>
    <row r="2728" spans="5:5" x14ac:dyDescent="0.25">
      <c r="E2728" t="s">
        <v>149</v>
      </c>
    </row>
    <row r="2729" spans="5:5" x14ac:dyDescent="0.25">
      <c r="E2729" t="s">
        <v>149</v>
      </c>
    </row>
    <row r="2730" spans="5:5" x14ac:dyDescent="0.25">
      <c r="E2730" t="s">
        <v>149</v>
      </c>
    </row>
    <row r="2731" spans="5:5" x14ac:dyDescent="0.25">
      <c r="E2731" t="s">
        <v>149</v>
      </c>
    </row>
    <row r="2732" spans="5:5" x14ac:dyDescent="0.25">
      <c r="E2732" t="s">
        <v>149</v>
      </c>
    </row>
    <row r="2733" spans="5:5" x14ac:dyDescent="0.25">
      <c r="E2733" t="s">
        <v>149</v>
      </c>
    </row>
    <row r="2734" spans="5:5" x14ac:dyDescent="0.25">
      <c r="E2734" t="s">
        <v>149</v>
      </c>
    </row>
    <row r="2735" spans="5:5" x14ac:dyDescent="0.25">
      <c r="E2735" t="s">
        <v>149</v>
      </c>
    </row>
    <row r="2736" spans="5:5" x14ac:dyDescent="0.25">
      <c r="E2736" t="s">
        <v>149</v>
      </c>
    </row>
    <row r="2737" spans="5:5" x14ac:dyDescent="0.25">
      <c r="E2737" t="s">
        <v>149</v>
      </c>
    </row>
    <row r="2738" spans="5:5" x14ac:dyDescent="0.25">
      <c r="E2738" t="s">
        <v>149</v>
      </c>
    </row>
    <row r="2739" spans="5:5" x14ac:dyDescent="0.25">
      <c r="E2739" t="s">
        <v>149</v>
      </c>
    </row>
    <row r="2740" spans="5:5" x14ac:dyDescent="0.25">
      <c r="E2740" t="s">
        <v>149</v>
      </c>
    </row>
    <row r="2741" spans="5:5" x14ac:dyDescent="0.25">
      <c r="E2741" t="s">
        <v>149</v>
      </c>
    </row>
    <row r="2742" spans="5:5" x14ac:dyDescent="0.25">
      <c r="E2742" t="s">
        <v>149</v>
      </c>
    </row>
    <row r="2743" spans="5:5" x14ac:dyDescent="0.25">
      <c r="E2743" t="s">
        <v>149</v>
      </c>
    </row>
    <row r="2744" spans="5:5" x14ac:dyDescent="0.25">
      <c r="E2744" t="s">
        <v>149</v>
      </c>
    </row>
    <row r="2745" spans="5:5" x14ac:dyDescent="0.25">
      <c r="E2745" t="s">
        <v>149</v>
      </c>
    </row>
    <row r="2746" spans="5:5" x14ac:dyDescent="0.25">
      <c r="E2746" t="s">
        <v>149</v>
      </c>
    </row>
    <row r="2747" spans="5:5" x14ac:dyDescent="0.25">
      <c r="E2747" t="s">
        <v>149</v>
      </c>
    </row>
    <row r="2748" spans="5:5" x14ac:dyDescent="0.25">
      <c r="E2748" t="s">
        <v>149</v>
      </c>
    </row>
    <row r="2749" spans="5:5" x14ac:dyDescent="0.25">
      <c r="E2749" t="s">
        <v>149</v>
      </c>
    </row>
    <row r="2750" spans="5:5" x14ac:dyDescent="0.25">
      <c r="E2750" t="s">
        <v>149</v>
      </c>
    </row>
    <row r="2751" spans="5:5" x14ac:dyDescent="0.25">
      <c r="E2751" t="s">
        <v>149</v>
      </c>
    </row>
    <row r="2752" spans="5:5" x14ac:dyDescent="0.25">
      <c r="E2752" t="s">
        <v>149</v>
      </c>
    </row>
    <row r="2753" spans="5:5" x14ac:dyDescent="0.25">
      <c r="E2753" t="s">
        <v>149</v>
      </c>
    </row>
    <row r="2754" spans="5:5" x14ac:dyDescent="0.25">
      <c r="E2754" t="s">
        <v>149</v>
      </c>
    </row>
    <row r="2755" spans="5:5" x14ac:dyDescent="0.25">
      <c r="E2755" t="s">
        <v>149</v>
      </c>
    </row>
    <row r="2756" spans="5:5" x14ac:dyDescent="0.25">
      <c r="E2756" t="s">
        <v>149</v>
      </c>
    </row>
    <row r="2757" spans="5:5" x14ac:dyDescent="0.25">
      <c r="E2757" t="s">
        <v>149</v>
      </c>
    </row>
    <row r="2758" spans="5:5" x14ac:dyDescent="0.25">
      <c r="E2758" t="s">
        <v>149</v>
      </c>
    </row>
    <row r="2759" spans="5:5" x14ac:dyDescent="0.25">
      <c r="E2759" t="s">
        <v>149</v>
      </c>
    </row>
    <row r="2760" spans="5:5" x14ac:dyDescent="0.25">
      <c r="E2760" t="s">
        <v>149</v>
      </c>
    </row>
    <row r="2761" spans="5:5" x14ac:dyDescent="0.25">
      <c r="E2761" t="s">
        <v>149</v>
      </c>
    </row>
    <row r="2762" spans="5:5" x14ac:dyDescent="0.25">
      <c r="E2762" t="s">
        <v>149</v>
      </c>
    </row>
    <row r="2763" spans="5:5" x14ac:dyDescent="0.25">
      <c r="E2763" t="s">
        <v>149</v>
      </c>
    </row>
    <row r="2764" spans="5:5" x14ac:dyDescent="0.25">
      <c r="E2764" t="s">
        <v>149</v>
      </c>
    </row>
    <row r="2765" spans="5:5" x14ac:dyDescent="0.25">
      <c r="E2765" t="s">
        <v>149</v>
      </c>
    </row>
    <row r="2766" spans="5:5" x14ac:dyDescent="0.25">
      <c r="E2766" t="s">
        <v>149</v>
      </c>
    </row>
    <row r="2767" spans="5:5" x14ac:dyDescent="0.25">
      <c r="E2767" t="s">
        <v>149</v>
      </c>
    </row>
    <row r="2768" spans="5:5" x14ac:dyDescent="0.25">
      <c r="E2768" t="s">
        <v>149</v>
      </c>
    </row>
    <row r="2769" spans="5:5" x14ac:dyDescent="0.25">
      <c r="E2769" t="s">
        <v>149</v>
      </c>
    </row>
    <row r="2770" spans="5:5" x14ac:dyDescent="0.25">
      <c r="E2770" t="s">
        <v>149</v>
      </c>
    </row>
    <row r="2771" spans="5:5" x14ac:dyDescent="0.25">
      <c r="E2771" t="s">
        <v>149</v>
      </c>
    </row>
    <row r="2772" spans="5:5" x14ac:dyDescent="0.25">
      <c r="E2772" t="s">
        <v>149</v>
      </c>
    </row>
    <row r="2773" spans="5:5" x14ac:dyDescent="0.25">
      <c r="E2773" t="s">
        <v>149</v>
      </c>
    </row>
    <row r="2774" spans="5:5" x14ac:dyDescent="0.25">
      <c r="E2774" t="s">
        <v>149</v>
      </c>
    </row>
    <row r="2775" spans="5:5" x14ac:dyDescent="0.25">
      <c r="E2775" t="s">
        <v>149</v>
      </c>
    </row>
    <row r="2776" spans="5:5" x14ac:dyDescent="0.25">
      <c r="E2776" t="s">
        <v>149</v>
      </c>
    </row>
    <row r="2777" spans="5:5" x14ac:dyDescent="0.25">
      <c r="E2777" t="s">
        <v>149</v>
      </c>
    </row>
    <row r="2778" spans="5:5" x14ac:dyDescent="0.25">
      <c r="E2778" t="s">
        <v>149</v>
      </c>
    </row>
    <row r="2779" spans="5:5" x14ac:dyDescent="0.25">
      <c r="E2779" t="s">
        <v>149</v>
      </c>
    </row>
    <row r="2780" spans="5:5" x14ac:dyDescent="0.25">
      <c r="E2780" t="s">
        <v>149</v>
      </c>
    </row>
    <row r="2781" spans="5:5" x14ac:dyDescent="0.25">
      <c r="E2781" t="s">
        <v>149</v>
      </c>
    </row>
    <row r="2782" spans="5:5" x14ac:dyDescent="0.25">
      <c r="E2782" t="s">
        <v>149</v>
      </c>
    </row>
    <row r="2783" spans="5:5" x14ac:dyDescent="0.25">
      <c r="E2783" t="s">
        <v>149</v>
      </c>
    </row>
    <row r="2784" spans="5:5" x14ac:dyDescent="0.25">
      <c r="E2784" t="s">
        <v>149</v>
      </c>
    </row>
    <row r="2785" spans="5:5" x14ac:dyDescent="0.25">
      <c r="E2785" t="s">
        <v>149</v>
      </c>
    </row>
    <row r="2786" spans="5:5" x14ac:dyDescent="0.25">
      <c r="E2786" t="s">
        <v>149</v>
      </c>
    </row>
    <row r="2787" spans="5:5" x14ac:dyDescent="0.25">
      <c r="E2787" t="s">
        <v>149</v>
      </c>
    </row>
    <row r="2788" spans="5:5" x14ac:dyDescent="0.25">
      <c r="E2788" t="s">
        <v>149</v>
      </c>
    </row>
    <row r="2789" spans="5:5" x14ac:dyDescent="0.25">
      <c r="E2789" t="s">
        <v>149</v>
      </c>
    </row>
    <row r="2790" spans="5:5" x14ac:dyDescent="0.25">
      <c r="E2790" t="s">
        <v>149</v>
      </c>
    </row>
    <row r="2791" spans="5:5" x14ac:dyDescent="0.25">
      <c r="E2791" t="s">
        <v>149</v>
      </c>
    </row>
    <row r="2792" spans="5:5" x14ac:dyDescent="0.25">
      <c r="E2792" t="s">
        <v>149</v>
      </c>
    </row>
    <row r="2793" spans="5:5" x14ac:dyDescent="0.25">
      <c r="E2793" t="s">
        <v>149</v>
      </c>
    </row>
    <row r="2794" spans="5:5" x14ac:dyDescent="0.25">
      <c r="E2794" t="s">
        <v>149</v>
      </c>
    </row>
    <row r="2795" spans="5:5" x14ac:dyDescent="0.25">
      <c r="E2795" t="s">
        <v>149</v>
      </c>
    </row>
    <row r="2796" spans="5:5" x14ac:dyDescent="0.25">
      <c r="E2796" t="s">
        <v>149</v>
      </c>
    </row>
    <row r="2797" spans="5:5" x14ac:dyDescent="0.25">
      <c r="E2797" t="s">
        <v>149</v>
      </c>
    </row>
    <row r="2798" spans="5:5" x14ac:dyDescent="0.25">
      <c r="E2798" t="s">
        <v>149</v>
      </c>
    </row>
    <row r="2799" spans="5:5" x14ac:dyDescent="0.25">
      <c r="E2799" t="s">
        <v>149</v>
      </c>
    </row>
    <row r="2800" spans="5:5" x14ac:dyDescent="0.25">
      <c r="E2800" t="s">
        <v>149</v>
      </c>
    </row>
    <row r="2801" spans="5:5" x14ac:dyDescent="0.25">
      <c r="E2801" t="s">
        <v>149</v>
      </c>
    </row>
    <row r="2802" spans="5:5" x14ac:dyDescent="0.25">
      <c r="E2802" t="s">
        <v>149</v>
      </c>
    </row>
    <row r="2803" spans="5:5" x14ac:dyDescent="0.25">
      <c r="E2803" t="s">
        <v>149</v>
      </c>
    </row>
    <row r="2804" spans="5:5" x14ac:dyDescent="0.25">
      <c r="E2804" t="s">
        <v>149</v>
      </c>
    </row>
    <row r="2805" spans="5:5" x14ac:dyDescent="0.25">
      <c r="E2805" t="s">
        <v>149</v>
      </c>
    </row>
    <row r="2806" spans="5:5" x14ac:dyDescent="0.25">
      <c r="E2806" t="s">
        <v>149</v>
      </c>
    </row>
    <row r="2807" spans="5:5" x14ac:dyDescent="0.25">
      <c r="E2807" t="s">
        <v>149</v>
      </c>
    </row>
    <row r="2808" spans="5:5" x14ac:dyDescent="0.25">
      <c r="E2808" t="s">
        <v>149</v>
      </c>
    </row>
    <row r="2809" spans="5:5" x14ac:dyDescent="0.25">
      <c r="E2809" t="s">
        <v>149</v>
      </c>
    </row>
    <row r="2810" spans="5:5" x14ac:dyDescent="0.25">
      <c r="E2810" t="s">
        <v>149</v>
      </c>
    </row>
    <row r="2811" spans="5:5" x14ac:dyDescent="0.25">
      <c r="E2811" t="s">
        <v>149</v>
      </c>
    </row>
    <row r="2812" spans="5:5" x14ac:dyDescent="0.25">
      <c r="E2812" t="s">
        <v>149</v>
      </c>
    </row>
    <row r="2813" spans="5:5" x14ac:dyDescent="0.25">
      <c r="E2813" t="s">
        <v>149</v>
      </c>
    </row>
    <row r="2814" spans="5:5" x14ac:dyDescent="0.25">
      <c r="E2814" t="s">
        <v>149</v>
      </c>
    </row>
    <row r="2815" spans="5:5" x14ac:dyDescent="0.25">
      <c r="E2815" t="s">
        <v>149</v>
      </c>
    </row>
    <row r="2816" spans="5:5" x14ac:dyDescent="0.25">
      <c r="E2816" t="s">
        <v>149</v>
      </c>
    </row>
    <row r="2817" spans="5:5" x14ac:dyDescent="0.25">
      <c r="E2817" t="s">
        <v>149</v>
      </c>
    </row>
    <row r="2818" spans="5:5" x14ac:dyDescent="0.25">
      <c r="E2818" t="s">
        <v>149</v>
      </c>
    </row>
    <row r="2819" spans="5:5" x14ac:dyDescent="0.25">
      <c r="E2819" t="s">
        <v>149</v>
      </c>
    </row>
    <row r="2820" spans="5:5" x14ac:dyDescent="0.25">
      <c r="E2820" t="s">
        <v>149</v>
      </c>
    </row>
    <row r="2821" spans="5:5" x14ac:dyDescent="0.25">
      <c r="E2821" t="s">
        <v>149</v>
      </c>
    </row>
    <row r="2822" spans="5:5" x14ac:dyDescent="0.25">
      <c r="E2822" t="s">
        <v>149</v>
      </c>
    </row>
    <row r="2823" spans="5:5" x14ac:dyDescent="0.25">
      <c r="E2823" t="s">
        <v>149</v>
      </c>
    </row>
    <row r="2824" spans="5:5" x14ac:dyDescent="0.25">
      <c r="E2824" t="s">
        <v>149</v>
      </c>
    </row>
    <row r="2825" spans="5:5" x14ac:dyDescent="0.25">
      <c r="E2825" t="s">
        <v>149</v>
      </c>
    </row>
    <row r="2826" spans="5:5" x14ac:dyDescent="0.25">
      <c r="E2826" t="s">
        <v>149</v>
      </c>
    </row>
    <row r="2827" spans="5:5" x14ac:dyDescent="0.25">
      <c r="E2827" t="s">
        <v>149</v>
      </c>
    </row>
    <row r="2828" spans="5:5" x14ac:dyDescent="0.25">
      <c r="E2828" t="s">
        <v>149</v>
      </c>
    </row>
    <row r="2829" spans="5:5" x14ac:dyDescent="0.25">
      <c r="E2829" t="s">
        <v>149</v>
      </c>
    </row>
    <row r="2830" spans="5:5" x14ac:dyDescent="0.25">
      <c r="E2830" t="s">
        <v>149</v>
      </c>
    </row>
    <row r="2831" spans="5:5" x14ac:dyDescent="0.25">
      <c r="E2831" t="s">
        <v>149</v>
      </c>
    </row>
    <row r="2832" spans="5:5" x14ac:dyDescent="0.25">
      <c r="E2832" t="s">
        <v>149</v>
      </c>
    </row>
    <row r="2833" spans="5:5" x14ac:dyDescent="0.25">
      <c r="E2833" t="s">
        <v>149</v>
      </c>
    </row>
    <row r="2834" spans="5:5" x14ac:dyDescent="0.25">
      <c r="E2834" t="s">
        <v>149</v>
      </c>
    </row>
    <row r="2835" spans="5:5" x14ac:dyDescent="0.25">
      <c r="E2835" t="s">
        <v>149</v>
      </c>
    </row>
    <row r="2836" spans="5:5" x14ac:dyDescent="0.25">
      <c r="E2836" t="s">
        <v>149</v>
      </c>
    </row>
    <row r="2837" spans="5:5" x14ac:dyDescent="0.25">
      <c r="E2837" t="s">
        <v>149</v>
      </c>
    </row>
    <row r="2838" spans="5:5" x14ac:dyDescent="0.25">
      <c r="E2838" t="s">
        <v>149</v>
      </c>
    </row>
    <row r="2839" spans="5:5" x14ac:dyDescent="0.25">
      <c r="E2839" t="s">
        <v>149</v>
      </c>
    </row>
    <row r="2840" spans="5:5" x14ac:dyDescent="0.25">
      <c r="E2840" t="s">
        <v>149</v>
      </c>
    </row>
    <row r="2841" spans="5:5" x14ac:dyDescent="0.25">
      <c r="E2841" t="s">
        <v>149</v>
      </c>
    </row>
    <row r="2842" spans="5:5" x14ac:dyDescent="0.25">
      <c r="E2842" t="s">
        <v>149</v>
      </c>
    </row>
    <row r="2843" spans="5:5" x14ac:dyDescent="0.25">
      <c r="E2843" t="s">
        <v>149</v>
      </c>
    </row>
    <row r="2844" spans="5:5" x14ac:dyDescent="0.25">
      <c r="E2844" t="s">
        <v>149</v>
      </c>
    </row>
    <row r="2845" spans="5:5" x14ac:dyDescent="0.25">
      <c r="E2845" t="s">
        <v>149</v>
      </c>
    </row>
    <row r="2846" spans="5:5" x14ac:dyDescent="0.25">
      <c r="E2846" t="s">
        <v>149</v>
      </c>
    </row>
    <row r="2847" spans="5:5" x14ac:dyDescent="0.25">
      <c r="E2847" t="s">
        <v>149</v>
      </c>
    </row>
    <row r="2848" spans="5:5" x14ac:dyDescent="0.25">
      <c r="E2848" t="s">
        <v>149</v>
      </c>
    </row>
    <row r="2849" spans="5:5" x14ac:dyDescent="0.25">
      <c r="E2849" t="s">
        <v>149</v>
      </c>
    </row>
    <row r="2850" spans="5:5" x14ac:dyDescent="0.25">
      <c r="E2850" t="s">
        <v>149</v>
      </c>
    </row>
    <row r="2851" spans="5:5" x14ac:dyDescent="0.25">
      <c r="E2851" t="s">
        <v>149</v>
      </c>
    </row>
    <row r="2852" spans="5:5" x14ac:dyDescent="0.25">
      <c r="E2852" t="s">
        <v>149</v>
      </c>
    </row>
    <row r="2853" spans="5:5" x14ac:dyDescent="0.25">
      <c r="E2853" t="s">
        <v>149</v>
      </c>
    </row>
    <row r="2854" spans="5:5" x14ac:dyDescent="0.25">
      <c r="E2854" t="s">
        <v>149</v>
      </c>
    </row>
    <row r="2855" spans="5:5" x14ac:dyDescent="0.25">
      <c r="E2855" t="s">
        <v>149</v>
      </c>
    </row>
    <row r="2856" spans="5:5" x14ac:dyDescent="0.25">
      <c r="E2856" t="s">
        <v>149</v>
      </c>
    </row>
    <row r="2857" spans="5:5" x14ac:dyDescent="0.25">
      <c r="E2857" t="s">
        <v>149</v>
      </c>
    </row>
    <row r="2858" spans="5:5" x14ac:dyDescent="0.25">
      <c r="E2858" t="s">
        <v>149</v>
      </c>
    </row>
    <row r="2859" spans="5:5" x14ac:dyDescent="0.25">
      <c r="E2859" t="s">
        <v>149</v>
      </c>
    </row>
    <row r="2860" spans="5:5" x14ac:dyDescent="0.25">
      <c r="E2860" t="s">
        <v>149</v>
      </c>
    </row>
    <row r="2861" spans="5:5" x14ac:dyDescent="0.25">
      <c r="E2861" t="s">
        <v>149</v>
      </c>
    </row>
    <row r="2862" spans="5:5" x14ac:dyDescent="0.25">
      <c r="E2862" t="s">
        <v>149</v>
      </c>
    </row>
    <row r="2863" spans="5:5" x14ac:dyDescent="0.25">
      <c r="E2863" t="s">
        <v>149</v>
      </c>
    </row>
    <row r="2864" spans="5:5" x14ac:dyDescent="0.25">
      <c r="E2864" t="s">
        <v>149</v>
      </c>
    </row>
    <row r="2865" spans="5:5" x14ac:dyDescent="0.25">
      <c r="E2865" t="s">
        <v>149</v>
      </c>
    </row>
    <row r="2866" spans="5:5" x14ac:dyDescent="0.25">
      <c r="E2866" t="s">
        <v>149</v>
      </c>
    </row>
    <row r="2867" spans="5:5" x14ac:dyDescent="0.25">
      <c r="E2867" t="s">
        <v>149</v>
      </c>
    </row>
    <row r="2868" spans="5:5" x14ac:dyDescent="0.25">
      <c r="E2868" t="s">
        <v>149</v>
      </c>
    </row>
    <row r="2869" spans="5:5" x14ac:dyDescent="0.25">
      <c r="E2869" t="s">
        <v>149</v>
      </c>
    </row>
    <row r="2870" spans="5:5" x14ac:dyDescent="0.25">
      <c r="E2870" t="s">
        <v>149</v>
      </c>
    </row>
    <row r="2871" spans="5:5" x14ac:dyDescent="0.25">
      <c r="E2871" t="s">
        <v>149</v>
      </c>
    </row>
    <row r="2872" spans="5:5" x14ac:dyDescent="0.25">
      <c r="E2872" t="s">
        <v>149</v>
      </c>
    </row>
    <row r="2873" spans="5:5" x14ac:dyDescent="0.25">
      <c r="E2873" t="s">
        <v>149</v>
      </c>
    </row>
    <row r="2874" spans="5:5" x14ac:dyDescent="0.25">
      <c r="E2874" t="s">
        <v>149</v>
      </c>
    </row>
    <row r="2875" spans="5:5" x14ac:dyDescent="0.25">
      <c r="E2875" t="s">
        <v>149</v>
      </c>
    </row>
    <row r="2876" spans="5:5" x14ac:dyDescent="0.25">
      <c r="E2876" t="s">
        <v>149</v>
      </c>
    </row>
    <row r="2877" spans="5:5" x14ac:dyDescent="0.25">
      <c r="E2877" t="s">
        <v>149</v>
      </c>
    </row>
    <row r="2878" spans="5:5" x14ac:dyDescent="0.25">
      <c r="E2878" t="s">
        <v>149</v>
      </c>
    </row>
    <row r="2879" spans="5:5" x14ac:dyDescent="0.25">
      <c r="E2879" t="s">
        <v>149</v>
      </c>
    </row>
    <row r="2880" spans="5:5" x14ac:dyDescent="0.25">
      <c r="E2880" t="s">
        <v>149</v>
      </c>
    </row>
    <row r="2881" spans="5:5" x14ac:dyDescent="0.25">
      <c r="E2881" t="s">
        <v>149</v>
      </c>
    </row>
    <row r="2882" spans="5:5" x14ac:dyDescent="0.25">
      <c r="E2882" t="s">
        <v>149</v>
      </c>
    </row>
    <row r="2883" spans="5:5" x14ac:dyDescent="0.25">
      <c r="E2883" t="s">
        <v>149</v>
      </c>
    </row>
    <row r="2884" spans="5:5" x14ac:dyDescent="0.25">
      <c r="E2884" t="s">
        <v>149</v>
      </c>
    </row>
    <row r="2885" spans="5:5" x14ac:dyDescent="0.25">
      <c r="E2885" t="s">
        <v>149</v>
      </c>
    </row>
    <row r="2886" spans="5:5" x14ac:dyDescent="0.25">
      <c r="E2886" t="s">
        <v>149</v>
      </c>
    </row>
    <row r="2887" spans="5:5" x14ac:dyDescent="0.25">
      <c r="E2887" t="s">
        <v>149</v>
      </c>
    </row>
    <row r="2888" spans="5:5" x14ac:dyDescent="0.25">
      <c r="E2888" t="s">
        <v>149</v>
      </c>
    </row>
    <row r="2889" spans="5:5" x14ac:dyDescent="0.25">
      <c r="E2889" t="s">
        <v>149</v>
      </c>
    </row>
    <row r="2890" spans="5:5" x14ac:dyDescent="0.25">
      <c r="E2890" t="s">
        <v>149</v>
      </c>
    </row>
    <row r="2891" spans="5:5" x14ac:dyDescent="0.25">
      <c r="E2891" t="s">
        <v>149</v>
      </c>
    </row>
    <row r="2892" spans="5:5" x14ac:dyDescent="0.25">
      <c r="E2892" t="s">
        <v>149</v>
      </c>
    </row>
    <row r="2893" spans="5:5" x14ac:dyDescent="0.25">
      <c r="E2893" t="s">
        <v>149</v>
      </c>
    </row>
    <row r="2894" spans="5:5" x14ac:dyDescent="0.25">
      <c r="E2894" t="s">
        <v>149</v>
      </c>
    </row>
    <row r="2895" spans="5:5" x14ac:dyDescent="0.25">
      <c r="E2895" t="s">
        <v>149</v>
      </c>
    </row>
    <row r="2896" spans="5:5" x14ac:dyDescent="0.25">
      <c r="E2896" t="s">
        <v>149</v>
      </c>
    </row>
    <row r="2897" spans="5:5" x14ac:dyDescent="0.25">
      <c r="E2897" t="s">
        <v>149</v>
      </c>
    </row>
    <row r="2898" spans="5:5" x14ac:dyDescent="0.25">
      <c r="E2898" t="s">
        <v>149</v>
      </c>
    </row>
    <row r="2899" spans="5:5" x14ac:dyDescent="0.25">
      <c r="E2899" t="s">
        <v>149</v>
      </c>
    </row>
    <row r="2900" spans="5:5" x14ac:dyDescent="0.25">
      <c r="E2900" t="s">
        <v>149</v>
      </c>
    </row>
    <row r="2901" spans="5:5" x14ac:dyDescent="0.25">
      <c r="E2901" t="s">
        <v>149</v>
      </c>
    </row>
    <row r="2902" spans="5:5" x14ac:dyDescent="0.25">
      <c r="E2902" t="s">
        <v>149</v>
      </c>
    </row>
    <row r="2903" spans="5:5" x14ac:dyDescent="0.25">
      <c r="E2903" t="s">
        <v>149</v>
      </c>
    </row>
    <row r="2904" spans="5:5" x14ac:dyDescent="0.25">
      <c r="E2904" t="s">
        <v>149</v>
      </c>
    </row>
    <row r="2905" spans="5:5" x14ac:dyDescent="0.25">
      <c r="E2905" t="s">
        <v>149</v>
      </c>
    </row>
    <row r="2906" spans="5:5" x14ac:dyDescent="0.25">
      <c r="E2906" t="s">
        <v>149</v>
      </c>
    </row>
    <row r="2907" spans="5:5" x14ac:dyDescent="0.25">
      <c r="E2907" t="s">
        <v>149</v>
      </c>
    </row>
    <row r="2908" spans="5:5" x14ac:dyDescent="0.25">
      <c r="E2908" t="s">
        <v>149</v>
      </c>
    </row>
    <row r="2909" spans="5:5" x14ac:dyDescent="0.25">
      <c r="E2909" t="s">
        <v>149</v>
      </c>
    </row>
    <row r="2910" spans="5:5" x14ac:dyDescent="0.25">
      <c r="E2910" t="s">
        <v>149</v>
      </c>
    </row>
    <row r="2911" spans="5:5" x14ac:dyDescent="0.25">
      <c r="E2911" t="s">
        <v>149</v>
      </c>
    </row>
    <row r="2912" spans="5:5" x14ac:dyDescent="0.25">
      <c r="E2912" t="s">
        <v>149</v>
      </c>
    </row>
    <row r="2913" spans="5:5" x14ac:dyDescent="0.25">
      <c r="E2913" t="s">
        <v>149</v>
      </c>
    </row>
    <row r="2914" spans="5:5" x14ac:dyDescent="0.25">
      <c r="E2914" t="s">
        <v>149</v>
      </c>
    </row>
    <row r="2915" spans="5:5" x14ac:dyDescent="0.25">
      <c r="E2915" t="s">
        <v>149</v>
      </c>
    </row>
    <row r="2916" spans="5:5" x14ac:dyDescent="0.25">
      <c r="E2916" t="s">
        <v>149</v>
      </c>
    </row>
    <row r="2917" spans="5:5" x14ac:dyDescent="0.25">
      <c r="E2917" t="s">
        <v>149</v>
      </c>
    </row>
    <row r="2918" spans="5:5" x14ac:dyDescent="0.25">
      <c r="E2918" t="s">
        <v>149</v>
      </c>
    </row>
    <row r="2919" spans="5:5" x14ac:dyDescent="0.25">
      <c r="E2919" t="s">
        <v>149</v>
      </c>
    </row>
    <row r="2920" spans="5:5" x14ac:dyDescent="0.25">
      <c r="E2920" t="s">
        <v>149</v>
      </c>
    </row>
    <row r="2921" spans="5:5" x14ac:dyDescent="0.25">
      <c r="E2921" t="s">
        <v>149</v>
      </c>
    </row>
    <row r="2922" spans="5:5" x14ac:dyDescent="0.25">
      <c r="E2922" t="s">
        <v>149</v>
      </c>
    </row>
    <row r="2923" spans="5:5" x14ac:dyDescent="0.25">
      <c r="E2923" t="s">
        <v>149</v>
      </c>
    </row>
    <row r="2924" spans="5:5" x14ac:dyDescent="0.25">
      <c r="E2924" t="s">
        <v>149</v>
      </c>
    </row>
    <row r="2925" spans="5:5" x14ac:dyDescent="0.25">
      <c r="E2925" t="s">
        <v>149</v>
      </c>
    </row>
    <row r="2926" spans="5:5" x14ac:dyDescent="0.25">
      <c r="E2926" t="s">
        <v>149</v>
      </c>
    </row>
    <row r="2927" spans="5:5" x14ac:dyDescent="0.25">
      <c r="E2927" t="s">
        <v>149</v>
      </c>
    </row>
    <row r="2928" spans="5:5" x14ac:dyDescent="0.25">
      <c r="E2928" t="s">
        <v>149</v>
      </c>
    </row>
    <row r="2929" spans="5:5" x14ac:dyDescent="0.25">
      <c r="E2929" t="s">
        <v>149</v>
      </c>
    </row>
    <row r="2930" spans="5:5" x14ac:dyDescent="0.25">
      <c r="E2930" t="s">
        <v>149</v>
      </c>
    </row>
    <row r="2931" spans="5:5" x14ac:dyDescent="0.25">
      <c r="E2931" t="s">
        <v>149</v>
      </c>
    </row>
    <row r="2932" spans="5:5" x14ac:dyDescent="0.25">
      <c r="E2932" t="s">
        <v>149</v>
      </c>
    </row>
    <row r="2933" spans="5:5" x14ac:dyDescent="0.25">
      <c r="E2933" t="s">
        <v>149</v>
      </c>
    </row>
    <row r="2934" spans="5:5" x14ac:dyDescent="0.25">
      <c r="E2934" t="s">
        <v>149</v>
      </c>
    </row>
    <row r="2935" spans="5:5" x14ac:dyDescent="0.25">
      <c r="E2935" t="s">
        <v>149</v>
      </c>
    </row>
    <row r="2936" spans="5:5" x14ac:dyDescent="0.25">
      <c r="E2936" t="s">
        <v>149</v>
      </c>
    </row>
    <row r="2937" spans="5:5" x14ac:dyDescent="0.25">
      <c r="E2937" t="s">
        <v>149</v>
      </c>
    </row>
    <row r="2938" spans="5:5" x14ac:dyDescent="0.25">
      <c r="E2938" t="s">
        <v>149</v>
      </c>
    </row>
    <row r="2939" spans="5:5" x14ac:dyDescent="0.25">
      <c r="E2939" t="s">
        <v>149</v>
      </c>
    </row>
    <row r="2940" spans="5:5" x14ac:dyDescent="0.25">
      <c r="E2940" t="s">
        <v>149</v>
      </c>
    </row>
    <row r="2941" spans="5:5" x14ac:dyDescent="0.25">
      <c r="E2941" t="s">
        <v>149</v>
      </c>
    </row>
    <row r="2942" spans="5:5" x14ac:dyDescent="0.25">
      <c r="E2942" t="s">
        <v>149</v>
      </c>
    </row>
    <row r="2943" spans="5:5" x14ac:dyDescent="0.25">
      <c r="E2943" t="s">
        <v>149</v>
      </c>
    </row>
    <row r="2944" spans="5:5" x14ac:dyDescent="0.25">
      <c r="E2944" t="s">
        <v>149</v>
      </c>
    </row>
    <row r="2945" spans="5:5" x14ac:dyDescent="0.25">
      <c r="E2945" t="s">
        <v>149</v>
      </c>
    </row>
    <row r="2946" spans="5:5" x14ac:dyDescent="0.25">
      <c r="E2946" t="s">
        <v>149</v>
      </c>
    </row>
    <row r="2947" spans="5:5" x14ac:dyDescent="0.25">
      <c r="E2947" t="s">
        <v>149</v>
      </c>
    </row>
    <row r="2948" spans="5:5" x14ac:dyDescent="0.25">
      <c r="E2948" t="s">
        <v>149</v>
      </c>
    </row>
    <row r="2949" spans="5:5" x14ac:dyDescent="0.25">
      <c r="E2949" t="s">
        <v>149</v>
      </c>
    </row>
    <row r="2950" spans="5:5" x14ac:dyDescent="0.25">
      <c r="E2950" t="s">
        <v>149</v>
      </c>
    </row>
    <row r="2951" spans="5:5" x14ac:dyDescent="0.25">
      <c r="E2951" t="s">
        <v>149</v>
      </c>
    </row>
    <row r="2952" spans="5:5" x14ac:dyDescent="0.25">
      <c r="E2952" t="s">
        <v>149</v>
      </c>
    </row>
    <row r="2953" spans="5:5" x14ac:dyDescent="0.25">
      <c r="E2953" t="s">
        <v>149</v>
      </c>
    </row>
    <row r="2954" spans="5:5" x14ac:dyDescent="0.25">
      <c r="E2954" t="s">
        <v>149</v>
      </c>
    </row>
    <row r="2955" spans="5:5" x14ac:dyDescent="0.25">
      <c r="E2955" t="s">
        <v>149</v>
      </c>
    </row>
    <row r="2956" spans="5:5" x14ac:dyDescent="0.25">
      <c r="E2956" t="s">
        <v>149</v>
      </c>
    </row>
    <row r="2957" spans="5:5" x14ac:dyDescent="0.25">
      <c r="E2957" t="s">
        <v>149</v>
      </c>
    </row>
    <row r="2958" spans="5:5" x14ac:dyDescent="0.25">
      <c r="E2958" t="s">
        <v>149</v>
      </c>
    </row>
    <row r="2959" spans="5:5" x14ac:dyDescent="0.25">
      <c r="E2959" t="s">
        <v>149</v>
      </c>
    </row>
    <row r="2960" spans="5:5" x14ac:dyDescent="0.25">
      <c r="E2960" t="s">
        <v>149</v>
      </c>
    </row>
    <row r="2961" spans="5:5" x14ac:dyDescent="0.25">
      <c r="E2961" t="s">
        <v>149</v>
      </c>
    </row>
    <row r="2962" spans="5:5" x14ac:dyDescent="0.25">
      <c r="E2962" t="s">
        <v>149</v>
      </c>
    </row>
    <row r="2963" spans="5:5" x14ac:dyDescent="0.25">
      <c r="E2963" t="s">
        <v>149</v>
      </c>
    </row>
    <row r="2964" spans="5:5" x14ac:dyDescent="0.25">
      <c r="E2964" t="s">
        <v>149</v>
      </c>
    </row>
    <row r="2965" spans="5:5" x14ac:dyDescent="0.25">
      <c r="E2965" t="s">
        <v>149</v>
      </c>
    </row>
    <row r="2966" spans="5:5" x14ac:dyDescent="0.25">
      <c r="E2966" t="s">
        <v>149</v>
      </c>
    </row>
    <row r="2967" spans="5:5" x14ac:dyDescent="0.25">
      <c r="E2967" t="s">
        <v>149</v>
      </c>
    </row>
    <row r="2968" spans="5:5" x14ac:dyDescent="0.25">
      <c r="E2968" t="s">
        <v>149</v>
      </c>
    </row>
    <row r="2969" spans="5:5" x14ac:dyDescent="0.25">
      <c r="E2969" t="s">
        <v>149</v>
      </c>
    </row>
    <row r="2970" spans="5:5" x14ac:dyDescent="0.25">
      <c r="E2970" t="s">
        <v>149</v>
      </c>
    </row>
    <row r="2971" spans="5:5" x14ac:dyDescent="0.25">
      <c r="E2971" t="s">
        <v>149</v>
      </c>
    </row>
    <row r="2972" spans="5:5" x14ac:dyDescent="0.25">
      <c r="E2972" t="s">
        <v>149</v>
      </c>
    </row>
    <row r="2973" spans="5:5" x14ac:dyDescent="0.25">
      <c r="E2973" t="s">
        <v>149</v>
      </c>
    </row>
    <row r="2974" spans="5:5" x14ac:dyDescent="0.25">
      <c r="E2974" t="s">
        <v>149</v>
      </c>
    </row>
    <row r="2975" spans="5:5" x14ac:dyDescent="0.25">
      <c r="E2975" t="s">
        <v>149</v>
      </c>
    </row>
    <row r="2976" spans="5:5" x14ac:dyDescent="0.25">
      <c r="E2976" t="s">
        <v>149</v>
      </c>
    </row>
    <row r="2977" spans="5:5" x14ac:dyDescent="0.25">
      <c r="E2977" t="s">
        <v>149</v>
      </c>
    </row>
    <row r="2978" spans="5:5" x14ac:dyDescent="0.25">
      <c r="E2978" t="s">
        <v>149</v>
      </c>
    </row>
    <row r="2979" spans="5:5" x14ac:dyDescent="0.25">
      <c r="E2979" t="s">
        <v>149</v>
      </c>
    </row>
    <row r="2980" spans="5:5" x14ac:dyDescent="0.25">
      <c r="E2980" t="s">
        <v>149</v>
      </c>
    </row>
    <row r="2981" spans="5:5" x14ac:dyDescent="0.25">
      <c r="E2981" t="s">
        <v>149</v>
      </c>
    </row>
    <row r="2982" spans="5:5" x14ac:dyDescent="0.25">
      <c r="E2982" t="s">
        <v>149</v>
      </c>
    </row>
    <row r="2983" spans="5:5" x14ac:dyDescent="0.25">
      <c r="E2983" t="s">
        <v>149</v>
      </c>
    </row>
    <row r="2984" spans="5:5" x14ac:dyDescent="0.25">
      <c r="E2984" t="s">
        <v>149</v>
      </c>
    </row>
    <row r="2985" spans="5:5" x14ac:dyDescent="0.25">
      <c r="E2985" t="s">
        <v>149</v>
      </c>
    </row>
    <row r="2986" spans="5:5" x14ac:dyDescent="0.25">
      <c r="E2986" t="s">
        <v>149</v>
      </c>
    </row>
    <row r="2987" spans="5:5" x14ac:dyDescent="0.25">
      <c r="E2987" t="s">
        <v>149</v>
      </c>
    </row>
    <row r="2988" spans="5:5" x14ac:dyDescent="0.25">
      <c r="E2988" t="s">
        <v>149</v>
      </c>
    </row>
    <row r="2989" spans="5:5" x14ac:dyDescent="0.25">
      <c r="E2989" t="s">
        <v>149</v>
      </c>
    </row>
    <row r="2990" spans="5:5" x14ac:dyDescent="0.25">
      <c r="E2990" t="s">
        <v>149</v>
      </c>
    </row>
    <row r="2991" spans="5:5" x14ac:dyDescent="0.25">
      <c r="E2991" t="s">
        <v>149</v>
      </c>
    </row>
    <row r="2992" spans="5:5" x14ac:dyDescent="0.25">
      <c r="E2992" t="s">
        <v>149</v>
      </c>
    </row>
    <row r="2993" spans="5:5" x14ac:dyDescent="0.25">
      <c r="E2993" t="s">
        <v>149</v>
      </c>
    </row>
    <row r="2994" spans="5:5" x14ac:dyDescent="0.25">
      <c r="E2994" t="s">
        <v>149</v>
      </c>
    </row>
    <row r="2995" spans="5:5" x14ac:dyDescent="0.25">
      <c r="E2995" t="s">
        <v>149</v>
      </c>
    </row>
    <row r="2996" spans="5:5" x14ac:dyDescent="0.25">
      <c r="E2996" t="s">
        <v>149</v>
      </c>
    </row>
    <row r="2997" spans="5:5" x14ac:dyDescent="0.25">
      <c r="E2997" t="s">
        <v>149</v>
      </c>
    </row>
    <row r="2998" spans="5:5" x14ac:dyDescent="0.25">
      <c r="E2998" t="s">
        <v>149</v>
      </c>
    </row>
    <row r="2999" spans="5:5" x14ac:dyDescent="0.25">
      <c r="E2999" t="s">
        <v>149</v>
      </c>
    </row>
    <row r="3000" spans="5:5" x14ac:dyDescent="0.25">
      <c r="E3000" t="s">
        <v>149</v>
      </c>
    </row>
    <row r="3001" spans="5:5" x14ac:dyDescent="0.25">
      <c r="E3001" t="s">
        <v>149</v>
      </c>
    </row>
    <row r="3002" spans="5:5" x14ac:dyDescent="0.25">
      <c r="E3002" t="s">
        <v>149</v>
      </c>
    </row>
    <row r="3003" spans="5:5" x14ac:dyDescent="0.25">
      <c r="E3003" t="s">
        <v>149</v>
      </c>
    </row>
    <row r="3004" spans="5:5" x14ac:dyDescent="0.25">
      <c r="E3004" t="s">
        <v>149</v>
      </c>
    </row>
    <row r="3005" spans="5:5" x14ac:dyDescent="0.25">
      <c r="E3005" t="s">
        <v>149</v>
      </c>
    </row>
    <row r="3006" spans="5:5" x14ac:dyDescent="0.25">
      <c r="E3006" t="s">
        <v>149</v>
      </c>
    </row>
    <row r="3007" spans="5:5" x14ac:dyDescent="0.25">
      <c r="E3007" t="s">
        <v>149</v>
      </c>
    </row>
    <row r="3008" spans="5:5" x14ac:dyDescent="0.25">
      <c r="E3008" t="s">
        <v>149</v>
      </c>
    </row>
    <row r="3009" spans="5:5" x14ac:dyDescent="0.25">
      <c r="E3009" t="s">
        <v>149</v>
      </c>
    </row>
    <row r="3010" spans="5:5" x14ac:dyDescent="0.25">
      <c r="E3010" t="s">
        <v>149</v>
      </c>
    </row>
    <row r="3011" spans="5:5" x14ac:dyDescent="0.25">
      <c r="E3011" t="s">
        <v>149</v>
      </c>
    </row>
    <row r="3012" spans="5:5" x14ac:dyDescent="0.25">
      <c r="E3012" t="s">
        <v>149</v>
      </c>
    </row>
    <row r="3013" spans="5:5" x14ac:dyDescent="0.25">
      <c r="E3013" t="s">
        <v>149</v>
      </c>
    </row>
    <row r="3014" spans="5:5" x14ac:dyDescent="0.25">
      <c r="E3014" t="s">
        <v>149</v>
      </c>
    </row>
    <row r="3015" spans="5:5" x14ac:dyDescent="0.25">
      <c r="E3015" t="s">
        <v>149</v>
      </c>
    </row>
    <row r="3016" spans="5:5" x14ac:dyDescent="0.25">
      <c r="E3016" t="s">
        <v>149</v>
      </c>
    </row>
    <row r="3017" spans="5:5" x14ac:dyDescent="0.25">
      <c r="E3017" t="s">
        <v>149</v>
      </c>
    </row>
    <row r="3018" spans="5:5" x14ac:dyDescent="0.25">
      <c r="E3018" t="s">
        <v>149</v>
      </c>
    </row>
    <row r="3019" spans="5:5" x14ac:dyDescent="0.25">
      <c r="E3019" t="s">
        <v>149</v>
      </c>
    </row>
    <row r="3020" spans="5:5" x14ac:dyDescent="0.25">
      <c r="E3020" t="s">
        <v>149</v>
      </c>
    </row>
    <row r="3021" spans="5:5" x14ac:dyDescent="0.25">
      <c r="E3021" t="s">
        <v>149</v>
      </c>
    </row>
    <row r="3022" spans="5:5" x14ac:dyDescent="0.25">
      <c r="E3022" t="s">
        <v>149</v>
      </c>
    </row>
    <row r="3023" spans="5:5" x14ac:dyDescent="0.25">
      <c r="E3023" t="s">
        <v>149</v>
      </c>
    </row>
    <row r="3024" spans="5:5" x14ac:dyDescent="0.25">
      <c r="E3024" t="s">
        <v>149</v>
      </c>
    </row>
    <row r="3025" spans="5:5" x14ac:dyDescent="0.25">
      <c r="E3025" t="s">
        <v>149</v>
      </c>
    </row>
    <row r="3026" spans="5:5" x14ac:dyDescent="0.25">
      <c r="E3026" t="s">
        <v>149</v>
      </c>
    </row>
    <row r="3027" spans="5:5" x14ac:dyDescent="0.25">
      <c r="E3027" t="s">
        <v>149</v>
      </c>
    </row>
    <row r="3028" spans="5:5" x14ac:dyDescent="0.25">
      <c r="E3028" t="s">
        <v>149</v>
      </c>
    </row>
    <row r="3029" spans="5:5" x14ac:dyDescent="0.25">
      <c r="E3029" t="s">
        <v>149</v>
      </c>
    </row>
    <row r="3030" spans="5:5" x14ac:dyDescent="0.25">
      <c r="E3030" t="s">
        <v>149</v>
      </c>
    </row>
    <row r="3031" spans="5:5" x14ac:dyDescent="0.25">
      <c r="E3031" t="s">
        <v>149</v>
      </c>
    </row>
    <row r="3032" spans="5:5" x14ac:dyDescent="0.25">
      <c r="E3032" t="s">
        <v>149</v>
      </c>
    </row>
    <row r="3033" spans="5:5" x14ac:dyDescent="0.25">
      <c r="E3033" t="s">
        <v>149</v>
      </c>
    </row>
    <row r="3034" spans="5:5" x14ac:dyDescent="0.25">
      <c r="E3034" t="s">
        <v>149</v>
      </c>
    </row>
    <row r="3035" spans="5:5" x14ac:dyDescent="0.25">
      <c r="E3035" t="s">
        <v>149</v>
      </c>
    </row>
    <row r="3036" spans="5:5" x14ac:dyDescent="0.25">
      <c r="E3036" t="s">
        <v>149</v>
      </c>
    </row>
    <row r="3037" spans="5:5" x14ac:dyDescent="0.25">
      <c r="E3037" t="s">
        <v>149</v>
      </c>
    </row>
    <row r="3038" spans="5:5" x14ac:dyDescent="0.25">
      <c r="E3038" t="s">
        <v>149</v>
      </c>
    </row>
    <row r="3039" spans="5:5" x14ac:dyDescent="0.25">
      <c r="E3039" t="s">
        <v>149</v>
      </c>
    </row>
    <row r="3040" spans="5:5" x14ac:dyDescent="0.25">
      <c r="E3040" t="s">
        <v>149</v>
      </c>
    </row>
    <row r="3041" spans="5:5" x14ac:dyDescent="0.25">
      <c r="E3041" t="s">
        <v>149</v>
      </c>
    </row>
    <row r="3042" spans="5:5" x14ac:dyDescent="0.25">
      <c r="E3042" t="s">
        <v>149</v>
      </c>
    </row>
    <row r="3043" spans="5:5" x14ac:dyDescent="0.25">
      <c r="E3043" t="s">
        <v>149</v>
      </c>
    </row>
    <row r="3044" spans="5:5" x14ac:dyDescent="0.25">
      <c r="E3044" t="s">
        <v>149</v>
      </c>
    </row>
    <row r="3045" spans="5:5" x14ac:dyDescent="0.25">
      <c r="E3045" t="s">
        <v>149</v>
      </c>
    </row>
    <row r="3046" spans="5:5" x14ac:dyDescent="0.25">
      <c r="E3046" t="s">
        <v>149</v>
      </c>
    </row>
    <row r="3047" spans="5:5" x14ac:dyDescent="0.25">
      <c r="E3047" t="s">
        <v>149</v>
      </c>
    </row>
    <row r="3048" spans="5:5" x14ac:dyDescent="0.25">
      <c r="E3048" t="s">
        <v>149</v>
      </c>
    </row>
    <row r="3049" spans="5:5" x14ac:dyDescent="0.25">
      <c r="E3049" t="s">
        <v>149</v>
      </c>
    </row>
    <row r="3050" spans="5:5" x14ac:dyDescent="0.25">
      <c r="E3050" t="s">
        <v>149</v>
      </c>
    </row>
    <row r="3051" spans="5:5" x14ac:dyDescent="0.25">
      <c r="E3051" t="s">
        <v>149</v>
      </c>
    </row>
    <row r="3052" spans="5:5" x14ac:dyDescent="0.25">
      <c r="E3052" t="s">
        <v>149</v>
      </c>
    </row>
    <row r="3053" spans="5:5" x14ac:dyDescent="0.25">
      <c r="E3053" t="s">
        <v>149</v>
      </c>
    </row>
    <row r="3054" spans="5:5" x14ac:dyDescent="0.25">
      <c r="E3054" t="s">
        <v>149</v>
      </c>
    </row>
    <row r="3055" spans="5:5" x14ac:dyDescent="0.25">
      <c r="E3055" t="s">
        <v>149</v>
      </c>
    </row>
    <row r="3056" spans="5:5" x14ac:dyDescent="0.25">
      <c r="E3056" t="s">
        <v>149</v>
      </c>
    </row>
    <row r="3057" spans="5:5" x14ac:dyDescent="0.25">
      <c r="E3057" t="s">
        <v>149</v>
      </c>
    </row>
    <row r="3058" spans="5:5" x14ac:dyDescent="0.25">
      <c r="E3058" t="s">
        <v>149</v>
      </c>
    </row>
    <row r="3059" spans="5:5" x14ac:dyDescent="0.25">
      <c r="E3059" t="s">
        <v>149</v>
      </c>
    </row>
    <row r="3060" spans="5:5" x14ac:dyDescent="0.25">
      <c r="E3060" t="s">
        <v>149</v>
      </c>
    </row>
    <row r="3061" spans="5:5" x14ac:dyDescent="0.25">
      <c r="E3061" t="s">
        <v>149</v>
      </c>
    </row>
    <row r="3062" spans="5:5" x14ac:dyDescent="0.25">
      <c r="E3062" t="s">
        <v>149</v>
      </c>
    </row>
    <row r="3063" spans="5:5" x14ac:dyDescent="0.25">
      <c r="E3063" t="s">
        <v>149</v>
      </c>
    </row>
    <row r="3064" spans="5:5" x14ac:dyDescent="0.25">
      <c r="E3064" t="s">
        <v>149</v>
      </c>
    </row>
    <row r="3065" spans="5:5" x14ac:dyDescent="0.25">
      <c r="E3065" t="s">
        <v>149</v>
      </c>
    </row>
    <row r="3066" spans="5:5" x14ac:dyDescent="0.25">
      <c r="E3066" t="s">
        <v>149</v>
      </c>
    </row>
    <row r="3067" spans="5:5" x14ac:dyDescent="0.25">
      <c r="E3067" t="s">
        <v>149</v>
      </c>
    </row>
    <row r="3068" spans="5:5" x14ac:dyDescent="0.25">
      <c r="E3068" t="s">
        <v>149</v>
      </c>
    </row>
    <row r="3069" spans="5:5" x14ac:dyDescent="0.25">
      <c r="E3069" t="s">
        <v>149</v>
      </c>
    </row>
    <row r="3070" spans="5:5" x14ac:dyDescent="0.25">
      <c r="E3070" t="s">
        <v>149</v>
      </c>
    </row>
    <row r="3071" spans="5:5" x14ac:dyDescent="0.25">
      <c r="E3071" t="s">
        <v>149</v>
      </c>
    </row>
    <row r="3072" spans="5:5" x14ac:dyDescent="0.25">
      <c r="E3072" t="s">
        <v>149</v>
      </c>
    </row>
    <row r="3073" spans="5:5" x14ac:dyDescent="0.25">
      <c r="E3073" t="s">
        <v>149</v>
      </c>
    </row>
    <row r="3074" spans="5:5" x14ac:dyDescent="0.25">
      <c r="E3074" t="s">
        <v>149</v>
      </c>
    </row>
    <row r="3075" spans="5:5" x14ac:dyDescent="0.25">
      <c r="E3075" t="s">
        <v>149</v>
      </c>
    </row>
    <row r="3076" spans="5:5" x14ac:dyDescent="0.25">
      <c r="E3076" t="s">
        <v>149</v>
      </c>
    </row>
    <row r="3077" spans="5:5" x14ac:dyDescent="0.25">
      <c r="E3077" t="s">
        <v>149</v>
      </c>
    </row>
    <row r="3078" spans="5:5" x14ac:dyDescent="0.25">
      <c r="E3078" t="s">
        <v>149</v>
      </c>
    </row>
    <row r="3079" spans="5:5" x14ac:dyDescent="0.25">
      <c r="E3079" t="s">
        <v>149</v>
      </c>
    </row>
    <row r="3080" spans="5:5" x14ac:dyDescent="0.25">
      <c r="E3080" t="s">
        <v>149</v>
      </c>
    </row>
    <row r="3081" spans="5:5" x14ac:dyDescent="0.25">
      <c r="E3081" t="s">
        <v>149</v>
      </c>
    </row>
    <row r="3082" spans="5:5" x14ac:dyDescent="0.25">
      <c r="E3082" t="s">
        <v>149</v>
      </c>
    </row>
    <row r="3083" spans="5:5" x14ac:dyDescent="0.25">
      <c r="E3083" t="s">
        <v>149</v>
      </c>
    </row>
    <row r="3084" spans="5:5" x14ac:dyDescent="0.25">
      <c r="E3084" t="s">
        <v>149</v>
      </c>
    </row>
    <row r="3085" spans="5:5" x14ac:dyDescent="0.25">
      <c r="E3085" t="s">
        <v>149</v>
      </c>
    </row>
    <row r="3086" spans="5:5" x14ac:dyDescent="0.25">
      <c r="E3086" t="s">
        <v>149</v>
      </c>
    </row>
    <row r="3087" spans="5:5" x14ac:dyDescent="0.25">
      <c r="E3087" t="s">
        <v>149</v>
      </c>
    </row>
    <row r="3088" spans="5:5" x14ac:dyDescent="0.25">
      <c r="E3088" t="s">
        <v>149</v>
      </c>
    </row>
    <row r="3089" spans="5:5" x14ac:dyDescent="0.25">
      <c r="E3089" t="s">
        <v>149</v>
      </c>
    </row>
    <row r="3090" spans="5:5" x14ac:dyDescent="0.25">
      <c r="E3090" t="s">
        <v>149</v>
      </c>
    </row>
    <row r="3091" spans="5:5" x14ac:dyDescent="0.25">
      <c r="E3091" t="s">
        <v>149</v>
      </c>
    </row>
    <row r="3092" spans="5:5" x14ac:dyDescent="0.25">
      <c r="E3092" t="s">
        <v>149</v>
      </c>
    </row>
    <row r="3093" spans="5:5" x14ac:dyDescent="0.25">
      <c r="E3093" t="s">
        <v>149</v>
      </c>
    </row>
    <row r="3094" spans="5:5" x14ac:dyDescent="0.25">
      <c r="E3094" t="s">
        <v>149</v>
      </c>
    </row>
    <row r="3095" spans="5:5" x14ac:dyDescent="0.25">
      <c r="E3095" t="s">
        <v>149</v>
      </c>
    </row>
    <row r="3096" spans="5:5" x14ac:dyDescent="0.25">
      <c r="E3096" t="s">
        <v>149</v>
      </c>
    </row>
    <row r="3097" spans="5:5" x14ac:dyDescent="0.25">
      <c r="E3097" t="s">
        <v>149</v>
      </c>
    </row>
    <row r="3098" spans="5:5" x14ac:dyDescent="0.25">
      <c r="E3098" t="s">
        <v>149</v>
      </c>
    </row>
    <row r="3099" spans="5:5" x14ac:dyDescent="0.25">
      <c r="E3099" t="s">
        <v>149</v>
      </c>
    </row>
    <row r="3100" spans="5:5" x14ac:dyDescent="0.25">
      <c r="E3100" t="s">
        <v>149</v>
      </c>
    </row>
    <row r="3101" spans="5:5" x14ac:dyDescent="0.25">
      <c r="E3101" t="s">
        <v>149</v>
      </c>
    </row>
    <row r="3102" spans="5:5" x14ac:dyDescent="0.25">
      <c r="E3102" t="s">
        <v>149</v>
      </c>
    </row>
    <row r="3103" spans="5:5" x14ac:dyDescent="0.25">
      <c r="E3103" t="s">
        <v>149</v>
      </c>
    </row>
    <row r="3104" spans="5:5" x14ac:dyDescent="0.25">
      <c r="E3104" t="s">
        <v>149</v>
      </c>
    </row>
    <row r="3105" spans="5:5" x14ac:dyDescent="0.25">
      <c r="E3105" t="s">
        <v>149</v>
      </c>
    </row>
    <row r="3106" spans="5:5" x14ac:dyDescent="0.25">
      <c r="E3106" t="s">
        <v>149</v>
      </c>
    </row>
    <row r="3107" spans="5:5" x14ac:dyDescent="0.25">
      <c r="E3107" t="s">
        <v>149</v>
      </c>
    </row>
    <row r="3108" spans="5:5" x14ac:dyDescent="0.25">
      <c r="E3108" t="s">
        <v>149</v>
      </c>
    </row>
    <row r="3109" spans="5:5" x14ac:dyDescent="0.25">
      <c r="E3109" t="s">
        <v>149</v>
      </c>
    </row>
    <row r="3110" spans="5:5" x14ac:dyDescent="0.25">
      <c r="E3110" t="s">
        <v>149</v>
      </c>
    </row>
    <row r="3111" spans="5:5" x14ac:dyDescent="0.25">
      <c r="E3111" t="s">
        <v>149</v>
      </c>
    </row>
    <row r="3112" spans="5:5" x14ac:dyDescent="0.25">
      <c r="E3112" t="s">
        <v>149</v>
      </c>
    </row>
    <row r="3113" spans="5:5" x14ac:dyDescent="0.25">
      <c r="E3113" t="s">
        <v>149</v>
      </c>
    </row>
    <row r="3114" spans="5:5" x14ac:dyDescent="0.25">
      <c r="E3114" t="s">
        <v>149</v>
      </c>
    </row>
    <row r="3115" spans="5:5" x14ac:dyDescent="0.25">
      <c r="E3115" t="s">
        <v>149</v>
      </c>
    </row>
    <row r="3116" spans="5:5" x14ac:dyDescent="0.25">
      <c r="E3116" t="s">
        <v>149</v>
      </c>
    </row>
    <row r="3117" spans="5:5" x14ac:dyDescent="0.25">
      <c r="E3117" t="s">
        <v>149</v>
      </c>
    </row>
    <row r="3118" spans="5:5" x14ac:dyDescent="0.25">
      <c r="E3118" t="s">
        <v>149</v>
      </c>
    </row>
    <row r="3119" spans="5:5" x14ac:dyDescent="0.25">
      <c r="E3119" t="s">
        <v>149</v>
      </c>
    </row>
    <row r="3120" spans="5:5" x14ac:dyDescent="0.25">
      <c r="E3120" t="s">
        <v>149</v>
      </c>
    </row>
    <row r="3121" spans="5:5" x14ac:dyDescent="0.25">
      <c r="E3121" t="s">
        <v>149</v>
      </c>
    </row>
    <row r="3122" spans="5:5" x14ac:dyDescent="0.25">
      <c r="E3122" t="s">
        <v>149</v>
      </c>
    </row>
    <row r="3123" spans="5:5" x14ac:dyDescent="0.25">
      <c r="E3123" t="s">
        <v>149</v>
      </c>
    </row>
    <row r="3124" spans="5:5" x14ac:dyDescent="0.25">
      <c r="E3124" t="s">
        <v>149</v>
      </c>
    </row>
    <row r="3125" spans="5:5" x14ac:dyDescent="0.25">
      <c r="E3125" t="s">
        <v>149</v>
      </c>
    </row>
    <row r="3126" spans="5:5" x14ac:dyDescent="0.25">
      <c r="E3126" t="s">
        <v>149</v>
      </c>
    </row>
    <row r="3127" spans="5:5" x14ac:dyDescent="0.25">
      <c r="E3127" t="s">
        <v>149</v>
      </c>
    </row>
    <row r="3128" spans="5:5" x14ac:dyDescent="0.25">
      <c r="E3128" t="s">
        <v>149</v>
      </c>
    </row>
    <row r="3129" spans="5:5" x14ac:dyDescent="0.25">
      <c r="E3129" t="s">
        <v>149</v>
      </c>
    </row>
    <row r="3130" spans="5:5" x14ac:dyDescent="0.25">
      <c r="E3130" t="s">
        <v>149</v>
      </c>
    </row>
    <row r="3131" spans="5:5" x14ac:dyDescent="0.25">
      <c r="E3131" t="s">
        <v>149</v>
      </c>
    </row>
    <row r="3132" spans="5:5" x14ac:dyDescent="0.25">
      <c r="E3132" t="s">
        <v>149</v>
      </c>
    </row>
    <row r="3133" spans="5:5" x14ac:dyDescent="0.25">
      <c r="E3133" t="s">
        <v>149</v>
      </c>
    </row>
    <row r="3134" spans="5:5" x14ac:dyDescent="0.25">
      <c r="E3134" t="s">
        <v>149</v>
      </c>
    </row>
    <row r="3135" spans="5:5" x14ac:dyDescent="0.25">
      <c r="E3135" t="s">
        <v>149</v>
      </c>
    </row>
    <row r="3136" spans="5:5" x14ac:dyDescent="0.25">
      <c r="E3136" t="s">
        <v>149</v>
      </c>
    </row>
    <row r="3137" spans="5:5" x14ac:dyDescent="0.25">
      <c r="E3137" t="s">
        <v>149</v>
      </c>
    </row>
    <row r="3138" spans="5:5" x14ac:dyDescent="0.25">
      <c r="E3138" t="s">
        <v>149</v>
      </c>
    </row>
    <row r="3139" spans="5:5" x14ac:dyDescent="0.25">
      <c r="E3139" t="s">
        <v>149</v>
      </c>
    </row>
    <row r="3140" spans="5:5" x14ac:dyDescent="0.25">
      <c r="E3140" t="s">
        <v>149</v>
      </c>
    </row>
    <row r="3141" spans="5:5" x14ac:dyDescent="0.25">
      <c r="E3141" t="s">
        <v>149</v>
      </c>
    </row>
    <row r="3142" spans="5:5" x14ac:dyDescent="0.25">
      <c r="E3142" t="s">
        <v>149</v>
      </c>
    </row>
    <row r="3143" spans="5:5" x14ac:dyDescent="0.25">
      <c r="E3143" t="s">
        <v>149</v>
      </c>
    </row>
    <row r="3144" spans="5:5" x14ac:dyDescent="0.25">
      <c r="E3144" t="s">
        <v>149</v>
      </c>
    </row>
    <row r="3145" spans="5:5" x14ac:dyDescent="0.25">
      <c r="E3145" t="s">
        <v>149</v>
      </c>
    </row>
    <row r="3146" spans="5:5" x14ac:dyDescent="0.25">
      <c r="E3146" t="s">
        <v>149</v>
      </c>
    </row>
    <row r="3147" spans="5:5" x14ac:dyDescent="0.25">
      <c r="E3147" t="s">
        <v>149</v>
      </c>
    </row>
    <row r="3148" spans="5:5" x14ac:dyDescent="0.25">
      <c r="E3148" t="s">
        <v>149</v>
      </c>
    </row>
    <row r="3149" spans="5:5" x14ac:dyDescent="0.25">
      <c r="E3149" t="s">
        <v>149</v>
      </c>
    </row>
    <row r="3150" spans="5:5" x14ac:dyDescent="0.25">
      <c r="E3150" t="s">
        <v>149</v>
      </c>
    </row>
    <row r="3151" spans="5:5" x14ac:dyDescent="0.25">
      <c r="E3151" t="s">
        <v>149</v>
      </c>
    </row>
    <row r="3152" spans="5:5" x14ac:dyDescent="0.25">
      <c r="E3152" t="s">
        <v>149</v>
      </c>
    </row>
    <row r="3153" spans="5:5" x14ac:dyDescent="0.25">
      <c r="E3153" t="s">
        <v>149</v>
      </c>
    </row>
    <row r="3154" spans="5:5" x14ac:dyDescent="0.25">
      <c r="E3154" t="s">
        <v>149</v>
      </c>
    </row>
    <row r="3155" spans="5:5" x14ac:dyDescent="0.25">
      <c r="E3155" t="s">
        <v>149</v>
      </c>
    </row>
    <row r="3156" spans="5:5" x14ac:dyDescent="0.25">
      <c r="E3156" t="s">
        <v>149</v>
      </c>
    </row>
    <row r="3157" spans="5:5" x14ac:dyDescent="0.25">
      <c r="E3157" t="s">
        <v>149</v>
      </c>
    </row>
    <row r="3158" spans="5:5" x14ac:dyDescent="0.25">
      <c r="E3158" t="s">
        <v>149</v>
      </c>
    </row>
    <row r="3159" spans="5:5" x14ac:dyDescent="0.25">
      <c r="E3159" t="s">
        <v>149</v>
      </c>
    </row>
    <row r="3160" spans="5:5" x14ac:dyDescent="0.25">
      <c r="E3160" t="s">
        <v>149</v>
      </c>
    </row>
    <row r="3161" spans="5:5" x14ac:dyDescent="0.25">
      <c r="E3161" t="s">
        <v>149</v>
      </c>
    </row>
    <row r="3162" spans="5:5" x14ac:dyDescent="0.25">
      <c r="E3162" t="s">
        <v>149</v>
      </c>
    </row>
    <row r="3163" spans="5:5" x14ac:dyDescent="0.25">
      <c r="E3163" t="s">
        <v>149</v>
      </c>
    </row>
    <row r="3164" spans="5:5" x14ac:dyDescent="0.25">
      <c r="E3164" t="s">
        <v>149</v>
      </c>
    </row>
    <row r="3165" spans="5:5" x14ac:dyDescent="0.25">
      <c r="E3165" t="s">
        <v>149</v>
      </c>
    </row>
    <row r="3166" spans="5:5" x14ac:dyDescent="0.25">
      <c r="E3166" t="s">
        <v>149</v>
      </c>
    </row>
    <row r="3167" spans="5:5" x14ac:dyDescent="0.25">
      <c r="E3167" t="s">
        <v>149</v>
      </c>
    </row>
    <row r="3168" spans="5:5" x14ac:dyDescent="0.25">
      <c r="E3168" t="s">
        <v>149</v>
      </c>
    </row>
    <row r="3169" spans="5:5" x14ac:dyDescent="0.25">
      <c r="E3169" t="s">
        <v>149</v>
      </c>
    </row>
    <row r="3170" spans="5:5" x14ac:dyDescent="0.25">
      <c r="E3170" t="s">
        <v>149</v>
      </c>
    </row>
    <row r="3171" spans="5:5" x14ac:dyDescent="0.25">
      <c r="E3171" t="s">
        <v>149</v>
      </c>
    </row>
    <row r="3172" spans="5:5" x14ac:dyDescent="0.25">
      <c r="E3172" t="s">
        <v>149</v>
      </c>
    </row>
    <row r="3173" spans="5:5" x14ac:dyDescent="0.25">
      <c r="E3173" t="s">
        <v>149</v>
      </c>
    </row>
    <row r="3174" spans="5:5" x14ac:dyDescent="0.25">
      <c r="E3174" t="s">
        <v>149</v>
      </c>
    </row>
    <row r="3175" spans="5:5" x14ac:dyDescent="0.25">
      <c r="E3175" t="s">
        <v>149</v>
      </c>
    </row>
    <row r="3176" spans="5:5" x14ac:dyDescent="0.25">
      <c r="E3176" t="s">
        <v>149</v>
      </c>
    </row>
    <row r="3177" spans="5:5" x14ac:dyDescent="0.25">
      <c r="E3177" t="s">
        <v>149</v>
      </c>
    </row>
    <row r="3178" spans="5:5" x14ac:dyDescent="0.25">
      <c r="E3178" t="s">
        <v>149</v>
      </c>
    </row>
    <row r="3179" spans="5:5" x14ac:dyDescent="0.25">
      <c r="E3179" t="s">
        <v>149</v>
      </c>
    </row>
    <row r="3180" spans="5:5" x14ac:dyDescent="0.25">
      <c r="E3180" t="s">
        <v>149</v>
      </c>
    </row>
    <row r="3181" spans="5:5" x14ac:dyDescent="0.25">
      <c r="E3181" t="s">
        <v>149</v>
      </c>
    </row>
    <row r="3182" spans="5:5" x14ac:dyDescent="0.25">
      <c r="E3182" t="s">
        <v>149</v>
      </c>
    </row>
    <row r="3183" spans="5:5" x14ac:dyDescent="0.25">
      <c r="E3183" t="s">
        <v>149</v>
      </c>
    </row>
    <row r="3184" spans="5:5" x14ac:dyDescent="0.25">
      <c r="E3184" t="s">
        <v>149</v>
      </c>
    </row>
    <row r="3185" spans="5:5" x14ac:dyDescent="0.25">
      <c r="E3185" t="s">
        <v>149</v>
      </c>
    </row>
    <row r="3186" spans="5:5" x14ac:dyDescent="0.25">
      <c r="E3186" t="s">
        <v>149</v>
      </c>
    </row>
    <row r="3187" spans="5:5" x14ac:dyDescent="0.25">
      <c r="E3187" t="s">
        <v>149</v>
      </c>
    </row>
    <row r="3188" spans="5:5" x14ac:dyDescent="0.25">
      <c r="E3188" t="s">
        <v>149</v>
      </c>
    </row>
    <row r="3189" spans="5:5" x14ac:dyDescent="0.25">
      <c r="E3189" t="s">
        <v>149</v>
      </c>
    </row>
    <row r="3190" spans="5:5" x14ac:dyDescent="0.25">
      <c r="E3190" t="s">
        <v>149</v>
      </c>
    </row>
    <row r="3191" spans="5:5" x14ac:dyDescent="0.25">
      <c r="E3191" t="s">
        <v>149</v>
      </c>
    </row>
    <row r="3192" spans="5:5" x14ac:dyDescent="0.25">
      <c r="E3192" t="s">
        <v>149</v>
      </c>
    </row>
    <row r="3193" spans="5:5" x14ac:dyDescent="0.25">
      <c r="E3193" t="s">
        <v>149</v>
      </c>
    </row>
    <row r="3194" spans="5:5" x14ac:dyDescent="0.25">
      <c r="E3194" t="s">
        <v>149</v>
      </c>
    </row>
    <row r="3195" spans="5:5" x14ac:dyDescent="0.25">
      <c r="E3195" t="s">
        <v>149</v>
      </c>
    </row>
    <row r="3196" spans="5:5" x14ac:dyDescent="0.25">
      <c r="E3196" t="s">
        <v>149</v>
      </c>
    </row>
    <row r="3197" spans="5:5" x14ac:dyDescent="0.25">
      <c r="E3197" t="s">
        <v>149</v>
      </c>
    </row>
    <row r="3198" spans="5:5" x14ac:dyDescent="0.25">
      <c r="E3198" t="s">
        <v>149</v>
      </c>
    </row>
    <row r="3199" spans="5:5" x14ac:dyDescent="0.25">
      <c r="E3199" t="s">
        <v>149</v>
      </c>
    </row>
    <row r="3200" spans="5:5" x14ac:dyDescent="0.25">
      <c r="E3200" t="s">
        <v>149</v>
      </c>
    </row>
    <row r="3201" spans="5:5" x14ac:dyDescent="0.25">
      <c r="E3201" t="s">
        <v>149</v>
      </c>
    </row>
    <row r="3202" spans="5:5" x14ac:dyDescent="0.25">
      <c r="E3202" t="s">
        <v>149</v>
      </c>
    </row>
    <row r="3203" spans="5:5" x14ac:dyDescent="0.25">
      <c r="E3203" t="s">
        <v>149</v>
      </c>
    </row>
    <row r="3204" spans="5:5" x14ac:dyDescent="0.25">
      <c r="E3204" t="s">
        <v>149</v>
      </c>
    </row>
    <row r="3205" spans="5:5" x14ac:dyDescent="0.25">
      <c r="E3205" t="s">
        <v>149</v>
      </c>
    </row>
    <row r="3206" spans="5:5" x14ac:dyDescent="0.25">
      <c r="E3206" t="s">
        <v>149</v>
      </c>
    </row>
    <row r="3207" spans="5:5" x14ac:dyDescent="0.25">
      <c r="E3207" t="s">
        <v>149</v>
      </c>
    </row>
    <row r="3208" spans="5:5" x14ac:dyDescent="0.25">
      <c r="E3208" t="s">
        <v>149</v>
      </c>
    </row>
    <row r="3209" spans="5:5" x14ac:dyDescent="0.25">
      <c r="E3209" t="s">
        <v>149</v>
      </c>
    </row>
    <row r="3210" spans="5:5" x14ac:dyDescent="0.25">
      <c r="E3210" t="s">
        <v>149</v>
      </c>
    </row>
    <row r="3211" spans="5:5" x14ac:dyDescent="0.25">
      <c r="E3211" t="s">
        <v>149</v>
      </c>
    </row>
    <row r="3212" spans="5:5" x14ac:dyDescent="0.25">
      <c r="E3212" t="s">
        <v>149</v>
      </c>
    </row>
    <row r="3213" spans="5:5" x14ac:dyDescent="0.25">
      <c r="E3213" t="s">
        <v>149</v>
      </c>
    </row>
    <row r="3214" spans="5:5" x14ac:dyDescent="0.25">
      <c r="E3214" t="s">
        <v>149</v>
      </c>
    </row>
    <row r="3215" spans="5:5" x14ac:dyDescent="0.25">
      <c r="E3215" t="s">
        <v>149</v>
      </c>
    </row>
    <row r="3216" spans="5:5" x14ac:dyDescent="0.25">
      <c r="E3216" t="s">
        <v>149</v>
      </c>
    </row>
    <row r="3217" spans="5:5" x14ac:dyDescent="0.25">
      <c r="E3217" t="s">
        <v>149</v>
      </c>
    </row>
    <row r="3218" spans="5:5" x14ac:dyDescent="0.25">
      <c r="E3218" t="s">
        <v>149</v>
      </c>
    </row>
    <row r="3219" spans="5:5" x14ac:dyDescent="0.25">
      <c r="E3219" t="s">
        <v>149</v>
      </c>
    </row>
    <row r="3220" spans="5:5" x14ac:dyDescent="0.25">
      <c r="E3220" t="s">
        <v>149</v>
      </c>
    </row>
    <row r="3221" spans="5:5" x14ac:dyDescent="0.25">
      <c r="E3221" t="s">
        <v>149</v>
      </c>
    </row>
    <row r="3222" spans="5:5" x14ac:dyDescent="0.25">
      <c r="E3222" t="s">
        <v>149</v>
      </c>
    </row>
    <row r="3223" spans="5:5" x14ac:dyDescent="0.25">
      <c r="E3223" t="s">
        <v>149</v>
      </c>
    </row>
    <row r="3224" spans="5:5" x14ac:dyDescent="0.25">
      <c r="E3224" t="s">
        <v>149</v>
      </c>
    </row>
    <row r="3225" spans="5:5" x14ac:dyDescent="0.25">
      <c r="E3225" t="s">
        <v>149</v>
      </c>
    </row>
    <row r="3226" spans="5:5" x14ac:dyDescent="0.25">
      <c r="E3226" t="s">
        <v>149</v>
      </c>
    </row>
    <row r="3227" spans="5:5" x14ac:dyDescent="0.25">
      <c r="E3227" t="s">
        <v>149</v>
      </c>
    </row>
    <row r="3228" spans="5:5" x14ac:dyDescent="0.25">
      <c r="E3228" t="s">
        <v>149</v>
      </c>
    </row>
    <row r="3229" spans="5:5" x14ac:dyDescent="0.25">
      <c r="E3229" t="s">
        <v>149</v>
      </c>
    </row>
    <row r="3230" spans="5:5" x14ac:dyDescent="0.25">
      <c r="E3230" t="s">
        <v>149</v>
      </c>
    </row>
    <row r="3231" spans="5:5" x14ac:dyDescent="0.25">
      <c r="E3231" t="s">
        <v>149</v>
      </c>
    </row>
    <row r="3232" spans="5:5" x14ac:dyDescent="0.25">
      <c r="E3232" t="s">
        <v>149</v>
      </c>
    </row>
    <row r="3233" spans="5:5" x14ac:dyDescent="0.25">
      <c r="E3233" t="s">
        <v>149</v>
      </c>
    </row>
    <row r="3234" spans="5:5" x14ac:dyDescent="0.25">
      <c r="E3234" t="s">
        <v>149</v>
      </c>
    </row>
    <row r="3235" spans="5:5" x14ac:dyDescent="0.25">
      <c r="E3235" t="s">
        <v>149</v>
      </c>
    </row>
    <row r="3236" spans="5:5" x14ac:dyDescent="0.25">
      <c r="E3236" t="s">
        <v>149</v>
      </c>
    </row>
    <row r="3237" spans="5:5" x14ac:dyDescent="0.25">
      <c r="E3237" t="s">
        <v>149</v>
      </c>
    </row>
    <row r="3238" spans="5:5" x14ac:dyDescent="0.25">
      <c r="E3238" t="s">
        <v>149</v>
      </c>
    </row>
    <row r="3239" spans="5:5" x14ac:dyDescent="0.25">
      <c r="E3239" t="s">
        <v>149</v>
      </c>
    </row>
    <row r="3240" spans="5:5" x14ac:dyDescent="0.25">
      <c r="E3240" t="s">
        <v>149</v>
      </c>
    </row>
    <row r="3241" spans="5:5" x14ac:dyDescent="0.25">
      <c r="E3241" t="s">
        <v>149</v>
      </c>
    </row>
    <row r="3242" spans="5:5" x14ac:dyDescent="0.25">
      <c r="E3242" t="s">
        <v>149</v>
      </c>
    </row>
    <row r="3243" spans="5:5" x14ac:dyDescent="0.25">
      <c r="E3243" t="s">
        <v>149</v>
      </c>
    </row>
    <row r="3244" spans="5:5" x14ac:dyDescent="0.25">
      <c r="E3244" t="s">
        <v>149</v>
      </c>
    </row>
    <row r="3245" spans="5:5" x14ac:dyDescent="0.25">
      <c r="E3245" t="s">
        <v>149</v>
      </c>
    </row>
    <row r="3246" spans="5:5" x14ac:dyDescent="0.25">
      <c r="E3246" t="s">
        <v>149</v>
      </c>
    </row>
    <row r="3247" spans="5:5" x14ac:dyDescent="0.25">
      <c r="E3247" t="s">
        <v>149</v>
      </c>
    </row>
    <row r="3248" spans="5:5" x14ac:dyDescent="0.25">
      <c r="E3248" t="s">
        <v>149</v>
      </c>
    </row>
    <row r="3249" spans="5:5" x14ac:dyDescent="0.25">
      <c r="E3249" t="s">
        <v>149</v>
      </c>
    </row>
    <row r="3250" spans="5:5" x14ac:dyDescent="0.25">
      <c r="E3250" t="s">
        <v>149</v>
      </c>
    </row>
    <row r="3251" spans="5:5" x14ac:dyDescent="0.25">
      <c r="E3251" t="s">
        <v>149</v>
      </c>
    </row>
    <row r="3252" spans="5:5" x14ac:dyDescent="0.25">
      <c r="E3252" t="s">
        <v>149</v>
      </c>
    </row>
    <row r="3253" spans="5:5" x14ac:dyDescent="0.25">
      <c r="E3253" t="s">
        <v>149</v>
      </c>
    </row>
    <row r="3254" spans="5:5" x14ac:dyDescent="0.25">
      <c r="E3254" t="s">
        <v>149</v>
      </c>
    </row>
    <row r="3255" spans="5:5" x14ac:dyDescent="0.25">
      <c r="E3255" t="s">
        <v>149</v>
      </c>
    </row>
    <row r="3256" spans="5:5" x14ac:dyDescent="0.25">
      <c r="E3256" t="s">
        <v>149</v>
      </c>
    </row>
    <row r="3257" spans="5:5" x14ac:dyDescent="0.25">
      <c r="E3257" t="s">
        <v>149</v>
      </c>
    </row>
    <row r="3258" spans="5:5" x14ac:dyDescent="0.25">
      <c r="E3258" t="s">
        <v>149</v>
      </c>
    </row>
    <row r="3259" spans="5:5" x14ac:dyDescent="0.25">
      <c r="E3259" t="s">
        <v>149</v>
      </c>
    </row>
    <row r="3260" spans="5:5" x14ac:dyDescent="0.25">
      <c r="E3260" t="s">
        <v>149</v>
      </c>
    </row>
    <row r="3261" spans="5:5" x14ac:dyDescent="0.25">
      <c r="E3261" t="s">
        <v>149</v>
      </c>
    </row>
    <row r="3262" spans="5:5" x14ac:dyDescent="0.25">
      <c r="E3262" t="s">
        <v>149</v>
      </c>
    </row>
    <row r="3263" spans="5:5" x14ac:dyDescent="0.25">
      <c r="E3263" t="s">
        <v>149</v>
      </c>
    </row>
    <row r="3264" spans="5:5" x14ac:dyDescent="0.25">
      <c r="E3264" t="s">
        <v>149</v>
      </c>
    </row>
    <row r="3265" spans="5:5" x14ac:dyDescent="0.25">
      <c r="E3265" t="s">
        <v>149</v>
      </c>
    </row>
    <row r="3266" spans="5:5" x14ac:dyDescent="0.25">
      <c r="E3266" t="s">
        <v>149</v>
      </c>
    </row>
    <row r="3267" spans="5:5" x14ac:dyDescent="0.25">
      <c r="E3267" t="s">
        <v>149</v>
      </c>
    </row>
    <row r="3268" spans="5:5" x14ac:dyDescent="0.25">
      <c r="E3268" t="s">
        <v>149</v>
      </c>
    </row>
    <row r="3269" spans="5:5" x14ac:dyDescent="0.25">
      <c r="E3269" t="s">
        <v>149</v>
      </c>
    </row>
    <row r="3270" spans="5:5" x14ac:dyDescent="0.25">
      <c r="E3270" t="s">
        <v>149</v>
      </c>
    </row>
    <row r="3271" spans="5:5" x14ac:dyDescent="0.25">
      <c r="E3271" t="s">
        <v>149</v>
      </c>
    </row>
    <row r="3272" spans="5:5" x14ac:dyDescent="0.25">
      <c r="E3272" t="s">
        <v>149</v>
      </c>
    </row>
    <row r="3273" spans="5:5" x14ac:dyDescent="0.25">
      <c r="E3273" t="s">
        <v>149</v>
      </c>
    </row>
    <row r="3274" spans="5:5" x14ac:dyDescent="0.25">
      <c r="E3274" t="s">
        <v>149</v>
      </c>
    </row>
    <row r="3275" spans="5:5" x14ac:dyDescent="0.25">
      <c r="E3275" t="s">
        <v>149</v>
      </c>
    </row>
    <row r="3276" spans="5:5" x14ac:dyDescent="0.25">
      <c r="E3276" t="s">
        <v>149</v>
      </c>
    </row>
    <row r="3277" spans="5:5" x14ac:dyDescent="0.25">
      <c r="E3277" t="s">
        <v>149</v>
      </c>
    </row>
    <row r="3278" spans="5:5" x14ac:dyDescent="0.25">
      <c r="E3278" t="s">
        <v>149</v>
      </c>
    </row>
    <row r="3279" spans="5:5" x14ac:dyDescent="0.25">
      <c r="E3279" t="s">
        <v>149</v>
      </c>
    </row>
    <row r="3280" spans="5:5" x14ac:dyDescent="0.25">
      <c r="E3280" t="s">
        <v>149</v>
      </c>
    </row>
    <row r="3281" spans="5:5" x14ac:dyDescent="0.25">
      <c r="E3281" t="s">
        <v>149</v>
      </c>
    </row>
    <row r="3282" spans="5:5" x14ac:dyDescent="0.25">
      <c r="E3282" t="s">
        <v>149</v>
      </c>
    </row>
    <row r="3283" spans="5:5" x14ac:dyDescent="0.25">
      <c r="E3283" t="s">
        <v>149</v>
      </c>
    </row>
    <row r="3284" spans="5:5" x14ac:dyDescent="0.25">
      <c r="E3284" t="s">
        <v>149</v>
      </c>
    </row>
    <row r="3285" spans="5:5" x14ac:dyDescent="0.25">
      <c r="E3285" t="s">
        <v>149</v>
      </c>
    </row>
    <row r="3286" spans="5:5" x14ac:dyDescent="0.25">
      <c r="E3286" t="s">
        <v>149</v>
      </c>
    </row>
    <row r="3287" spans="5:5" x14ac:dyDescent="0.25">
      <c r="E3287" t="s">
        <v>149</v>
      </c>
    </row>
    <row r="3288" spans="5:5" x14ac:dyDescent="0.25">
      <c r="E3288" t="s">
        <v>149</v>
      </c>
    </row>
    <row r="3289" spans="5:5" x14ac:dyDescent="0.25">
      <c r="E3289" t="s">
        <v>149</v>
      </c>
    </row>
    <row r="3290" spans="5:5" x14ac:dyDescent="0.25">
      <c r="E3290" t="s">
        <v>149</v>
      </c>
    </row>
    <row r="3291" spans="5:5" x14ac:dyDescent="0.25">
      <c r="E3291" t="s">
        <v>149</v>
      </c>
    </row>
    <row r="3292" spans="5:5" x14ac:dyDescent="0.25">
      <c r="E3292" t="s">
        <v>149</v>
      </c>
    </row>
    <row r="3293" spans="5:5" x14ac:dyDescent="0.25">
      <c r="E3293" t="s">
        <v>149</v>
      </c>
    </row>
    <row r="3294" spans="5:5" x14ac:dyDescent="0.25">
      <c r="E3294" t="s">
        <v>149</v>
      </c>
    </row>
    <row r="3295" spans="5:5" x14ac:dyDescent="0.25">
      <c r="E3295" t="s">
        <v>149</v>
      </c>
    </row>
    <row r="3296" spans="5:5" x14ac:dyDescent="0.25">
      <c r="E3296" t="s">
        <v>149</v>
      </c>
    </row>
    <row r="3297" spans="5:5" x14ac:dyDescent="0.25">
      <c r="E3297" t="s">
        <v>149</v>
      </c>
    </row>
    <row r="3298" spans="5:5" x14ac:dyDescent="0.25">
      <c r="E3298" t="s">
        <v>149</v>
      </c>
    </row>
    <row r="3299" spans="5:5" x14ac:dyDescent="0.25">
      <c r="E3299" t="s">
        <v>149</v>
      </c>
    </row>
    <row r="3300" spans="5:5" x14ac:dyDescent="0.25">
      <c r="E3300" t="s">
        <v>149</v>
      </c>
    </row>
    <row r="3301" spans="5:5" x14ac:dyDescent="0.25">
      <c r="E3301" t="s">
        <v>149</v>
      </c>
    </row>
    <row r="3302" spans="5:5" x14ac:dyDescent="0.25">
      <c r="E3302" t="s">
        <v>149</v>
      </c>
    </row>
    <row r="3303" spans="5:5" x14ac:dyDescent="0.25">
      <c r="E3303" t="s">
        <v>149</v>
      </c>
    </row>
    <row r="3304" spans="5:5" x14ac:dyDescent="0.25">
      <c r="E3304" t="s">
        <v>149</v>
      </c>
    </row>
    <row r="3305" spans="5:5" x14ac:dyDescent="0.25">
      <c r="E3305" t="s">
        <v>149</v>
      </c>
    </row>
    <row r="3306" spans="5:5" x14ac:dyDescent="0.25">
      <c r="E3306" t="s">
        <v>149</v>
      </c>
    </row>
    <row r="3307" spans="5:5" x14ac:dyDescent="0.25">
      <c r="E3307" t="s">
        <v>149</v>
      </c>
    </row>
    <row r="3308" spans="5:5" x14ac:dyDescent="0.25">
      <c r="E3308" t="s">
        <v>149</v>
      </c>
    </row>
    <row r="3309" spans="5:5" x14ac:dyDescent="0.25">
      <c r="E3309" t="s">
        <v>149</v>
      </c>
    </row>
    <row r="3310" spans="5:5" x14ac:dyDescent="0.25">
      <c r="E3310" t="s">
        <v>149</v>
      </c>
    </row>
    <row r="3311" spans="5:5" x14ac:dyDescent="0.25">
      <c r="E3311" t="s">
        <v>149</v>
      </c>
    </row>
    <row r="3312" spans="5:5" x14ac:dyDescent="0.25">
      <c r="E3312" t="s">
        <v>149</v>
      </c>
    </row>
    <row r="3313" spans="5:5" x14ac:dyDescent="0.25">
      <c r="E3313" t="s">
        <v>149</v>
      </c>
    </row>
    <row r="3314" spans="5:5" x14ac:dyDescent="0.25">
      <c r="E3314" t="s">
        <v>149</v>
      </c>
    </row>
    <row r="3315" spans="5:5" x14ac:dyDescent="0.25">
      <c r="E3315" t="s">
        <v>149</v>
      </c>
    </row>
    <row r="3316" spans="5:5" x14ac:dyDescent="0.25">
      <c r="E3316" t="s">
        <v>149</v>
      </c>
    </row>
    <row r="3317" spans="5:5" x14ac:dyDescent="0.25">
      <c r="E3317" t="s">
        <v>149</v>
      </c>
    </row>
    <row r="3318" spans="5:5" x14ac:dyDescent="0.25">
      <c r="E3318" t="s">
        <v>149</v>
      </c>
    </row>
    <row r="3319" spans="5:5" x14ac:dyDescent="0.25">
      <c r="E3319" t="s">
        <v>149</v>
      </c>
    </row>
    <row r="3320" spans="5:5" x14ac:dyDescent="0.25">
      <c r="E3320" t="s">
        <v>149</v>
      </c>
    </row>
    <row r="3321" spans="5:5" x14ac:dyDescent="0.25">
      <c r="E3321" t="s">
        <v>149</v>
      </c>
    </row>
    <row r="3322" spans="5:5" x14ac:dyDescent="0.25">
      <c r="E3322" t="s">
        <v>149</v>
      </c>
    </row>
    <row r="3323" spans="5:5" x14ac:dyDescent="0.25">
      <c r="E3323" t="s">
        <v>149</v>
      </c>
    </row>
    <row r="3324" spans="5:5" x14ac:dyDescent="0.25">
      <c r="E3324" t="s">
        <v>149</v>
      </c>
    </row>
    <row r="3325" spans="5:5" x14ac:dyDescent="0.25">
      <c r="E3325" t="s">
        <v>149</v>
      </c>
    </row>
    <row r="3326" spans="5:5" x14ac:dyDescent="0.25">
      <c r="E3326" t="s">
        <v>149</v>
      </c>
    </row>
    <row r="3327" spans="5:5" x14ac:dyDescent="0.25">
      <c r="E3327" t="s">
        <v>149</v>
      </c>
    </row>
    <row r="3328" spans="5:5" x14ac:dyDescent="0.25">
      <c r="E3328" t="s">
        <v>149</v>
      </c>
    </row>
    <row r="3329" spans="5:5" x14ac:dyDescent="0.25">
      <c r="E3329" t="s">
        <v>149</v>
      </c>
    </row>
    <row r="3330" spans="5:5" x14ac:dyDescent="0.25">
      <c r="E3330" t="s">
        <v>149</v>
      </c>
    </row>
    <row r="3331" spans="5:5" x14ac:dyDescent="0.25">
      <c r="E3331" t="s">
        <v>149</v>
      </c>
    </row>
    <row r="3332" spans="5:5" x14ac:dyDescent="0.25">
      <c r="E3332" t="s">
        <v>149</v>
      </c>
    </row>
    <row r="3333" spans="5:5" x14ac:dyDescent="0.25">
      <c r="E3333" t="s">
        <v>149</v>
      </c>
    </row>
    <row r="3334" spans="5:5" x14ac:dyDescent="0.25">
      <c r="E3334" t="s">
        <v>149</v>
      </c>
    </row>
    <row r="3335" spans="5:5" x14ac:dyDescent="0.25">
      <c r="E3335" t="s">
        <v>149</v>
      </c>
    </row>
    <row r="3336" spans="5:5" x14ac:dyDescent="0.25">
      <c r="E3336" t="s">
        <v>149</v>
      </c>
    </row>
    <row r="3337" spans="5:5" x14ac:dyDescent="0.25">
      <c r="E3337" t="s">
        <v>149</v>
      </c>
    </row>
    <row r="3338" spans="5:5" x14ac:dyDescent="0.25">
      <c r="E3338" t="s">
        <v>149</v>
      </c>
    </row>
    <row r="3339" spans="5:5" x14ac:dyDescent="0.25">
      <c r="E3339" t="s">
        <v>149</v>
      </c>
    </row>
    <row r="3340" spans="5:5" x14ac:dyDescent="0.25">
      <c r="E3340" t="s">
        <v>149</v>
      </c>
    </row>
    <row r="3341" spans="5:5" x14ac:dyDescent="0.25">
      <c r="E3341" t="s">
        <v>149</v>
      </c>
    </row>
    <row r="3342" spans="5:5" x14ac:dyDescent="0.25">
      <c r="E3342" t="s">
        <v>149</v>
      </c>
    </row>
    <row r="3343" spans="5:5" x14ac:dyDescent="0.25">
      <c r="E3343" t="s">
        <v>149</v>
      </c>
    </row>
    <row r="3344" spans="5:5" x14ac:dyDescent="0.25">
      <c r="E3344" t="s">
        <v>149</v>
      </c>
    </row>
    <row r="3345" spans="5:5" x14ac:dyDescent="0.25">
      <c r="E3345" t="s">
        <v>149</v>
      </c>
    </row>
    <row r="3346" spans="5:5" x14ac:dyDescent="0.25">
      <c r="E3346" t="s">
        <v>149</v>
      </c>
    </row>
    <row r="3347" spans="5:5" x14ac:dyDescent="0.25">
      <c r="E3347" t="s">
        <v>149</v>
      </c>
    </row>
    <row r="3348" spans="5:5" x14ac:dyDescent="0.25">
      <c r="E3348" t="s">
        <v>149</v>
      </c>
    </row>
    <row r="3349" spans="5:5" x14ac:dyDescent="0.25">
      <c r="E3349" t="s">
        <v>149</v>
      </c>
    </row>
    <row r="3350" spans="5:5" x14ac:dyDescent="0.25">
      <c r="E3350" t="s">
        <v>149</v>
      </c>
    </row>
    <row r="3351" spans="5:5" x14ac:dyDescent="0.25">
      <c r="E3351" t="s">
        <v>149</v>
      </c>
    </row>
    <row r="3352" spans="5:5" x14ac:dyDescent="0.25">
      <c r="E3352" t="s">
        <v>149</v>
      </c>
    </row>
    <row r="3353" spans="5:5" x14ac:dyDescent="0.25">
      <c r="E3353" t="s">
        <v>149</v>
      </c>
    </row>
    <row r="3354" spans="5:5" x14ac:dyDescent="0.25">
      <c r="E3354" t="s">
        <v>149</v>
      </c>
    </row>
    <row r="3355" spans="5:5" x14ac:dyDescent="0.25">
      <c r="E3355" t="s">
        <v>149</v>
      </c>
    </row>
    <row r="3356" spans="5:5" x14ac:dyDescent="0.25">
      <c r="E3356" t="s">
        <v>149</v>
      </c>
    </row>
    <row r="3357" spans="5:5" x14ac:dyDescent="0.25">
      <c r="E3357" t="s">
        <v>149</v>
      </c>
    </row>
    <row r="3358" spans="5:5" x14ac:dyDescent="0.25">
      <c r="E3358" t="s">
        <v>149</v>
      </c>
    </row>
    <row r="3359" spans="5:5" x14ac:dyDescent="0.25">
      <c r="E3359" t="s">
        <v>149</v>
      </c>
    </row>
    <row r="3360" spans="5:5" x14ac:dyDescent="0.25">
      <c r="E3360" t="s">
        <v>149</v>
      </c>
    </row>
    <row r="3361" spans="5:5" x14ac:dyDescent="0.25">
      <c r="E3361" t="s">
        <v>149</v>
      </c>
    </row>
    <row r="3362" spans="5:5" x14ac:dyDescent="0.25">
      <c r="E3362" t="s">
        <v>149</v>
      </c>
    </row>
    <row r="3363" spans="5:5" x14ac:dyDescent="0.25">
      <c r="E3363" t="s">
        <v>149</v>
      </c>
    </row>
    <row r="3364" spans="5:5" x14ac:dyDescent="0.25">
      <c r="E3364" t="s">
        <v>149</v>
      </c>
    </row>
    <row r="3365" spans="5:5" x14ac:dyDescent="0.25">
      <c r="E3365" t="s">
        <v>149</v>
      </c>
    </row>
    <row r="3366" spans="5:5" x14ac:dyDescent="0.25">
      <c r="E3366" t="s">
        <v>149</v>
      </c>
    </row>
    <row r="3367" spans="5:5" x14ac:dyDescent="0.25">
      <c r="E3367" t="s">
        <v>149</v>
      </c>
    </row>
    <row r="3368" spans="5:5" x14ac:dyDescent="0.25">
      <c r="E3368" t="s">
        <v>149</v>
      </c>
    </row>
    <row r="3369" spans="5:5" x14ac:dyDescent="0.25">
      <c r="E3369" t="s">
        <v>149</v>
      </c>
    </row>
    <row r="3370" spans="5:5" x14ac:dyDescent="0.25">
      <c r="E3370" t="s">
        <v>149</v>
      </c>
    </row>
    <row r="3371" spans="5:5" x14ac:dyDescent="0.25">
      <c r="E3371" t="s">
        <v>149</v>
      </c>
    </row>
    <row r="3372" spans="5:5" x14ac:dyDescent="0.25">
      <c r="E3372" t="s">
        <v>149</v>
      </c>
    </row>
    <row r="3373" spans="5:5" x14ac:dyDescent="0.25">
      <c r="E3373" t="s">
        <v>149</v>
      </c>
    </row>
    <row r="3374" spans="5:5" x14ac:dyDescent="0.25">
      <c r="E3374" t="s">
        <v>149</v>
      </c>
    </row>
    <row r="3375" spans="5:5" x14ac:dyDescent="0.25">
      <c r="E3375" t="s">
        <v>149</v>
      </c>
    </row>
    <row r="3376" spans="5:5" x14ac:dyDescent="0.25">
      <c r="E3376" t="s">
        <v>149</v>
      </c>
    </row>
    <row r="3377" spans="5:5" x14ac:dyDescent="0.25">
      <c r="E3377" t="s">
        <v>149</v>
      </c>
    </row>
    <row r="3378" spans="5:5" x14ac:dyDescent="0.25">
      <c r="E3378" t="s">
        <v>149</v>
      </c>
    </row>
    <row r="3379" spans="5:5" x14ac:dyDescent="0.25">
      <c r="E3379" t="s">
        <v>149</v>
      </c>
    </row>
    <row r="3380" spans="5:5" x14ac:dyDescent="0.25">
      <c r="E3380" t="s">
        <v>149</v>
      </c>
    </row>
    <row r="3381" spans="5:5" x14ac:dyDescent="0.25">
      <c r="E3381" t="s">
        <v>149</v>
      </c>
    </row>
    <row r="3382" spans="5:5" x14ac:dyDescent="0.25">
      <c r="E3382" t="s">
        <v>149</v>
      </c>
    </row>
    <row r="3383" spans="5:5" x14ac:dyDescent="0.25">
      <c r="E3383" t="s">
        <v>149</v>
      </c>
    </row>
    <row r="3384" spans="5:5" x14ac:dyDescent="0.25">
      <c r="E3384" t="s">
        <v>149</v>
      </c>
    </row>
    <row r="3385" spans="5:5" x14ac:dyDescent="0.25">
      <c r="E3385" t="s">
        <v>149</v>
      </c>
    </row>
    <row r="3386" spans="5:5" x14ac:dyDescent="0.25">
      <c r="E3386" t="s">
        <v>149</v>
      </c>
    </row>
    <row r="3387" spans="5:5" x14ac:dyDescent="0.25">
      <c r="E3387" t="s">
        <v>149</v>
      </c>
    </row>
    <row r="3388" spans="5:5" x14ac:dyDescent="0.25">
      <c r="E3388" t="s">
        <v>149</v>
      </c>
    </row>
    <row r="3389" spans="5:5" x14ac:dyDescent="0.25">
      <c r="E3389" t="s">
        <v>149</v>
      </c>
    </row>
    <row r="3390" spans="5:5" x14ac:dyDescent="0.25">
      <c r="E3390" t="s">
        <v>149</v>
      </c>
    </row>
    <row r="3391" spans="5:5" x14ac:dyDescent="0.25">
      <c r="E3391" t="s">
        <v>149</v>
      </c>
    </row>
    <row r="3392" spans="5:5" x14ac:dyDescent="0.25">
      <c r="E3392" t="s">
        <v>149</v>
      </c>
    </row>
    <row r="3393" spans="5:5" x14ac:dyDescent="0.25">
      <c r="E3393" t="s">
        <v>149</v>
      </c>
    </row>
    <row r="3394" spans="5:5" x14ac:dyDescent="0.25">
      <c r="E3394" t="s">
        <v>149</v>
      </c>
    </row>
    <row r="3395" spans="5:5" x14ac:dyDescent="0.25">
      <c r="E3395" t="s">
        <v>149</v>
      </c>
    </row>
    <row r="3396" spans="5:5" x14ac:dyDescent="0.25">
      <c r="E3396" t="s">
        <v>149</v>
      </c>
    </row>
    <row r="3397" spans="5:5" x14ac:dyDescent="0.25">
      <c r="E3397" t="s">
        <v>149</v>
      </c>
    </row>
    <row r="3398" spans="5:5" x14ac:dyDescent="0.25">
      <c r="E3398" t="s">
        <v>149</v>
      </c>
    </row>
    <row r="3399" spans="5:5" x14ac:dyDescent="0.25">
      <c r="E3399" t="s">
        <v>149</v>
      </c>
    </row>
    <row r="3400" spans="5:5" x14ac:dyDescent="0.25">
      <c r="E3400" t="s">
        <v>149</v>
      </c>
    </row>
    <row r="3401" spans="5:5" x14ac:dyDescent="0.25">
      <c r="E3401" t="s">
        <v>149</v>
      </c>
    </row>
    <row r="3402" spans="5:5" x14ac:dyDescent="0.25">
      <c r="E3402" t="s">
        <v>149</v>
      </c>
    </row>
    <row r="3403" spans="5:5" x14ac:dyDescent="0.25">
      <c r="E3403" t="s">
        <v>149</v>
      </c>
    </row>
    <row r="3404" spans="5:5" x14ac:dyDescent="0.25">
      <c r="E3404" t="s">
        <v>149</v>
      </c>
    </row>
    <row r="3405" spans="5:5" x14ac:dyDescent="0.25">
      <c r="E3405" t="s">
        <v>149</v>
      </c>
    </row>
    <row r="3406" spans="5:5" x14ac:dyDescent="0.25">
      <c r="E3406" t="s">
        <v>149</v>
      </c>
    </row>
    <row r="3407" spans="5:5" x14ac:dyDescent="0.25">
      <c r="E3407" t="s">
        <v>149</v>
      </c>
    </row>
    <row r="3408" spans="5:5" x14ac:dyDescent="0.25">
      <c r="E3408" t="s">
        <v>149</v>
      </c>
    </row>
    <row r="3409" spans="5:5" x14ac:dyDescent="0.25">
      <c r="E3409" t="s">
        <v>149</v>
      </c>
    </row>
    <row r="3410" spans="5:5" x14ac:dyDescent="0.25">
      <c r="E3410" t="s">
        <v>149</v>
      </c>
    </row>
    <row r="3411" spans="5:5" x14ac:dyDescent="0.25">
      <c r="E3411" t="s">
        <v>149</v>
      </c>
    </row>
    <row r="3412" spans="5:5" x14ac:dyDescent="0.25">
      <c r="E3412" t="s">
        <v>149</v>
      </c>
    </row>
    <row r="3413" spans="5:5" x14ac:dyDescent="0.25">
      <c r="E3413" t="s">
        <v>149</v>
      </c>
    </row>
    <row r="3414" spans="5:5" x14ac:dyDescent="0.25">
      <c r="E3414" t="s">
        <v>149</v>
      </c>
    </row>
    <row r="3415" spans="5:5" x14ac:dyDescent="0.25">
      <c r="E3415" t="s">
        <v>149</v>
      </c>
    </row>
    <row r="3416" spans="5:5" x14ac:dyDescent="0.25">
      <c r="E3416" t="s">
        <v>149</v>
      </c>
    </row>
    <row r="3417" spans="5:5" x14ac:dyDescent="0.25">
      <c r="E3417" t="s">
        <v>149</v>
      </c>
    </row>
    <row r="3418" spans="5:5" x14ac:dyDescent="0.25">
      <c r="E3418" t="s">
        <v>149</v>
      </c>
    </row>
    <row r="3419" spans="5:5" x14ac:dyDescent="0.25">
      <c r="E3419" t="s">
        <v>149</v>
      </c>
    </row>
    <row r="3420" spans="5:5" x14ac:dyDescent="0.25">
      <c r="E3420" t="s">
        <v>149</v>
      </c>
    </row>
    <row r="3421" spans="5:5" x14ac:dyDescent="0.25">
      <c r="E3421" t="s">
        <v>149</v>
      </c>
    </row>
    <row r="3422" spans="5:5" x14ac:dyDescent="0.25">
      <c r="E3422" t="s">
        <v>149</v>
      </c>
    </row>
    <row r="3423" spans="5:5" x14ac:dyDescent="0.25">
      <c r="E3423" t="s">
        <v>149</v>
      </c>
    </row>
    <row r="3424" spans="5:5" x14ac:dyDescent="0.25">
      <c r="E3424" t="s">
        <v>149</v>
      </c>
    </row>
    <row r="3425" spans="5:5" x14ac:dyDescent="0.25">
      <c r="E3425" t="s">
        <v>149</v>
      </c>
    </row>
    <row r="3426" spans="5:5" x14ac:dyDescent="0.25">
      <c r="E3426" t="s">
        <v>149</v>
      </c>
    </row>
    <row r="3427" spans="5:5" x14ac:dyDescent="0.25">
      <c r="E3427" t="s">
        <v>149</v>
      </c>
    </row>
    <row r="3428" spans="5:5" x14ac:dyDescent="0.25">
      <c r="E3428" t="s">
        <v>149</v>
      </c>
    </row>
    <row r="3429" spans="5:5" x14ac:dyDescent="0.25">
      <c r="E3429" t="s">
        <v>149</v>
      </c>
    </row>
    <row r="3430" spans="5:5" x14ac:dyDescent="0.25">
      <c r="E3430" t="s">
        <v>149</v>
      </c>
    </row>
    <row r="3431" spans="5:5" x14ac:dyDescent="0.25">
      <c r="E3431" t="s">
        <v>149</v>
      </c>
    </row>
    <row r="3432" spans="5:5" x14ac:dyDescent="0.25">
      <c r="E3432" t="s">
        <v>149</v>
      </c>
    </row>
    <row r="3433" spans="5:5" x14ac:dyDescent="0.25">
      <c r="E3433" t="s">
        <v>149</v>
      </c>
    </row>
    <row r="3434" spans="5:5" x14ac:dyDescent="0.25">
      <c r="E3434" t="s">
        <v>149</v>
      </c>
    </row>
    <row r="3435" spans="5:5" x14ac:dyDescent="0.25">
      <c r="E3435" t="s">
        <v>149</v>
      </c>
    </row>
    <row r="3436" spans="5:5" x14ac:dyDescent="0.25">
      <c r="E3436" t="s">
        <v>149</v>
      </c>
    </row>
    <row r="3437" spans="5:5" x14ac:dyDescent="0.25">
      <c r="E3437" t="s">
        <v>149</v>
      </c>
    </row>
    <row r="3438" spans="5:5" x14ac:dyDescent="0.25">
      <c r="E3438" t="s">
        <v>149</v>
      </c>
    </row>
    <row r="3439" spans="5:5" x14ac:dyDescent="0.25">
      <c r="E3439" t="s">
        <v>149</v>
      </c>
    </row>
    <row r="3440" spans="5:5" x14ac:dyDescent="0.25">
      <c r="E3440" t="s">
        <v>149</v>
      </c>
    </row>
    <row r="3441" spans="5:5" x14ac:dyDescent="0.25">
      <c r="E3441" t="s">
        <v>149</v>
      </c>
    </row>
    <row r="3442" spans="5:5" x14ac:dyDescent="0.25">
      <c r="E3442" t="s">
        <v>149</v>
      </c>
    </row>
    <row r="3443" spans="5:5" x14ac:dyDescent="0.25">
      <c r="E3443" t="s">
        <v>149</v>
      </c>
    </row>
    <row r="3444" spans="5:5" x14ac:dyDescent="0.25">
      <c r="E3444" t="s">
        <v>149</v>
      </c>
    </row>
    <row r="3445" spans="5:5" x14ac:dyDescent="0.25">
      <c r="E3445" t="s">
        <v>149</v>
      </c>
    </row>
    <row r="3446" spans="5:5" x14ac:dyDescent="0.25">
      <c r="E3446" t="s">
        <v>149</v>
      </c>
    </row>
    <row r="3447" spans="5:5" x14ac:dyDescent="0.25">
      <c r="E3447" t="s">
        <v>149</v>
      </c>
    </row>
    <row r="3448" spans="5:5" x14ac:dyDescent="0.25">
      <c r="E3448" t="s">
        <v>149</v>
      </c>
    </row>
    <row r="3449" spans="5:5" x14ac:dyDescent="0.25">
      <c r="E3449" t="s">
        <v>149</v>
      </c>
    </row>
    <row r="3450" spans="5:5" x14ac:dyDescent="0.25">
      <c r="E3450" t="s">
        <v>149</v>
      </c>
    </row>
    <row r="3451" spans="5:5" x14ac:dyDescent="0.25">
      <c r="E3451" t="s">
        <v>149</v>
      </c>
    </row>
    <row r="3452" spans="5:5" x14ac:dyDescent="0.25">
      <c r="E3452" t="s">
        <v>149</v>
      </c>
    </row>
    <row r="3453" spans="5:5" x14ac:dyDescent="0.25">
      <c r="E3453" t="s">
        <v>149</v>
      </c>
    </row>
    <row r="3454" spans="5:5" x14ac:dyDescent="0.25">
      <c r="E3454" t="s">
        <v>149</v>
      </c>
    </row>
    <row r="3455" spans="5:5" x14ac:dyDescent="0.25">
      <c r="E3455" t="s">
        <v>149</v>
      </c>
    </row>
    <row r="3456" spans="5:5" x14ac:dyDescent="0.25">
      <c r="E3456" t="s">
        <v>149</v>
      </c>
    </row>
    <row r="3457" spans="5:5" x14ac:dyDescent="0.25">
      <c r="E3457" t="s">
        <v>149</v>
      </c>
    </row>
    <row r="3458" spans="5:5" x14ac:dyDescent="0.25">
      <c r="E3458" t="s">
        <v>149</v>
      </c>
    </row>
    <row r="3459" spans="5:5" x14ac:dyDescent="0.25">
      <c r="E3459" t="s">
        <v>149</v>
      </c>
    </row>
    <row r="3460" spans="5:5" x14ac:dyDescent="0.25">
      <c r="E3460" t="s">
        <v>149</v>
      </c>
    </row>
    <row r="3461" spans="5:5" x14ac:dyDescent="0.25">
      <c r="E3461" t="s">
        <v>149</v>
      </c>
    </row>
    <row r="3462" spans="5:5" x14ac:dyDescent="0.25">
      <c r="E3462" t="s">
        <v>149</v>
      </c>
    </row>
    <row r="3463" spans="5:5" x14ac:dyDescent="0.25">
      <c r="E3463" t="s">
        <v>149</v>
      </c>
    </row>
    <row r="3464" spans="5:5" x14ac:dyDescent="0.25">
      <c r="E3464" t="s">
        <v>149</v>
      </c>
    </row>
    <row r="3465" spans="5:5" x14ac:dyDescent="0.25">
      <c r="E3465" t="s">
        <v>149</v>
      </c>
    </row>
    <row r="3466" spans="5:5" x14ac:dyDescent="0.25">
      <c r="E3466" t="s">
        <v>149</v>
      </c>
    </row>
    <row r="3467" spans="5:5" x14ac:dyDescent="0.25">
      <c r="E3467" t="s">
        <v>149</v>
      </c>
    </row>
    <row r="3468" spans="5:5" x14ac:dyDescent="0.25">
      <c r="E3468" t="s">
        <v>149</v>
      </c>
    </row>
    <row r="3469" spans="5:5" x14ac:dyDescent="0.25">
      <c r="E3469" t="s">
        <v>149</v>
      </c>
    </row>
    <row r="3470" spans="5:5" x14ac:dyDescent="0.25">
      <c r="E3470" t="s">
        <v>149</v>
      </c>
    </row>
    <row r="3471" spans="5:5" x14ac:dyDescent="0.25">
      <c r="E3471" t="s">
        <v>149</v>
      </c>
    </row>
    <row r="3472" spans="5:5" x14ac:dyDescent="0.25">
      <c r="E3472" t="s">
        <v>149</v>
      </c>
    </row>
    <row r="3473" spans="5:5" x14ac:dyDescent="0.25">
      <c r="E3473" t="s">
        <v>149</v>
      </c>
    </row>
    <row r="3474" spans="5:5" x14ac:dyDescent="0.25">
      <c r="E3474" t="s">
        <v>149</v>
      </c>
    </row>
    <row r="3475" spans="5:5" x14ac:dyDescent="0.25">
      <c r="E3475" t="s">
        <v>149</v>
      </c>
    </row>
    <row r="3476" spans="5:5" x14ac:dyDescent="0.25">
      <c r="E3476" t="s">
        <v>149</v>
      </c>
    </row>
    <row r="3477" spans="5:5" x14ac:dyDescent="0.25">
      <c r="E3477" t="s">
        <v>149</v>
      </c>
    </row>
    <row r="3478" spans="5:5" x14ac:dyDescent="0.25">
      <c r="E3478" t="s">
        <v>149</v>
      </c>
    </row>
    <row r="3479" spans="5:5" x14ac:dyDescent="0.25">
      <c r="E3479" t="s">
        <v>149</v>
      </c>
    </row>
    <row r="3480" spans="5:5" x14ac:dyDescent="0.25">
      <c r="E3480" t="s">
        <v>149</v>
      </c>
    </row>
    <row r="3481" spans="5:5" x14ac:dyDescent="0.25">
      <c r="E3481" t="s">
        <v>149</v>
      </c>
    </row>
    <row r="3482" spans="5:5" x14ac:dyDescent="0.25">
      <c r="E3482" t="s">
        <v>149</v>
      </c>
    </row>
    <row r="3483" spans="5:5" x14ac:dyDescent="0.25">
      <c r="E3483" t="s">
        <v>149</v>
      </c>
    </row>
    <row r="3484" spans="5:5" x14ac:dyDescent="0.25">
      <c r="E3484" t="s">
        <v>149</v>
      </c>
    </row>
    <row r="3485" spans="5:5" x14ac:dyDescent="0.25">
      <c r="E3485" t="s">
        <v>149</v>
      </c>
    </row>
    <row r="3486" spans="5:5" x14ac:dyDescent="0.25">
      <c r="E3486" t="s">
        <v>149</v>
      </c>
    </row>
    <row r="3487" spans="5:5" x14ac:dyDescent="0.25">
      <c r="E3487" t="s">
        <v>149</v>
      </c>
    </row>
    <row r="3488" spans="5:5" x14ac:dyDescent="0.25">
      <c r="E3488" t="s">
        <v>149</v>
      </c>
    </row>
    <row r="3489" spans="5:5" x14ac:dyDescent="0.25">
      <c r="E3489" t="s">
        <v>149</v>
      </c>
    </row>
    <row r="3490" spans="5:5" x14ac:dyDescent="0.25">
      <c r="E3490" t="s">
        <v>149</v>
      </c>
    </row>
    <row r="3491" spans="5:5" x14ac:dyDescent="0.25">
      <c r="E3491" t="s">
        <v>149</v>
      </c>
    </row>
    <row r="3492" spans="5:5" x14ac:dyDescent="0.25">
      <c r="E3492" t="s">
        <v>149</v>
      </c>
    </row>
    <row r="3493" spans="5:5" x14ac:dyDescent="0.25">
      <c r="E3493" t="s">
        <v>149</v>
      </c>
    </row>
    <row r="3494" spans="5:5" x14ac:dyDescent="0.25">
      <c r="E3494" t="s">
        <v>149</v>
      </c>
    </row>
    <row r="3495" spans="5:5" x14ac:dyDescent="0.25">
      <c r="E3495" t="s">
        <v>149</v>
      </c>
    </row>
    <row r="3496" spans="5:5" x14ac:dyDescent="0.25">
      <c r="E3496" t="s">
        <v>149</v>
      </c>
    </row>
    <row r="3497" spans="5:5" x14ac:dyDescent="0.25">
      <c r="E3497" t="s">
        <v>149</v>
      </c>
    </row>
    <row r="3498" spans="5:5" x14ac:dyDescent="0.25">
      <c r="E3498" t="s">
        <v>149</v>
      </c>
    </row>
    <row r="3499" spans="5:5" x14ac:dyDescent="0.25">
      <c r="E3499" t="s">
        <v>149</v>
      </c>
    </row>
    <row r="3500" spans="5:5" x14ac:dyDescent="0.25">
      <c r="E3500" t="s">
        <v>149</v>
      </c>
    </row>
    <row r="3501" spans="5:5" x14ac:dyDescent="0.25">
      <c r="E3501" t="s">
        <v>149</v>
      </c>
    </row>
    <row r="3502" spans="5:5" x14ac:dyDescent="0.25">
      <c r="E3502" t="s">
        <v>149</v>
      </c>
    </row>
    <row r="3503" spans="5:5" x14ac:dyDescent="0.25">
      <c r="E3503" t="s">
        <v>149</v>
      </c>
    </row>
    <row r="3504" spans="5:5" x14ac:dyDescent="0.25">
      <c r="E3504" t="s">
        <v>149</v>
      </c>
    </row>
    <row r="3505" spans="5:5" x14ac:dyDescent="0.25">
      <c r="E3505" t="s">
        <v>149</v>
      </c>
    </row>
    <row r="3506" spans="5:5" x14ac:dyDescent="0.25">
      <c r="E3506" t="s">
        <v>149</v>
      </c>
    </row>
    <row r="3507" spans="5:5" x14ac:dyDescent="0.25">
      <c r="E3507" t="s">
        <v>149</v>
      </c>
    </row>
    <row r="3508" spans="5:5" x14ac:dyDescent="0.25">
      <c r="E3508" t="s">
        <v>149</v>
      </c>
    </row>
    <row r="3509" spans="5:5" x14ac:dyDescent="0.25">
      <c r="E3509" t="s">
        <v>149</v>
      </c>
    </row>
    <row r="3510" spans="5:5" x14ac:dyDescent="0.25">
      <c r="E3510" t="s">
        <v>149</v>
      </c>
    </row>
    <row r="3511" spans="5:5" x14ac:dyDescent="0.25">
      <c r="E3511" t="s">
        <v>149</v>
      </c>
    </row>
    <row r="3512" spans="5:5" x14ac:dyDescent="0.25">
      <c r="E3512" t="s">
        <v>149</v>
      </c>
    </row>
    <row r="3513" spans="5:5" x14ac:dyDescent="0.25">
      <c r="E3513" t="s">
        <v>149</v>
      </c>
    </row>
    <row r="3514" spans="5:5" x14ac:dyDescent="0.25">
      <c r="E3514" t="s">
        <v>149</v>
      </c>
    </row>
    <row r="3515" spans="5:5" x14ac:dyDescent="0.25">
      <c r="E3515" t="s">
        <v>149</v>
      </c>
    </row>
    <row r="3516" spans="5:5" x14ac:dyDescent="0.25">
      <c r="E3516" t="s">
        <v>149</v>
      </c>
    </row>
    <row r="3517" spans="5:5" x14ac:dyDescent="0.25">
      <c r="E3517" t="s">
        <v>149</v>
      </c>
    </row>
    <row r="3518" spans="5:5" x14ac:dyDescent="0.25">
      <c r="E3518" t="s">
        <v>149</v>
      </c>
    </row>
    <row r="3519" spans="5:5" x14ac:dyDescent="0.25">
      <c r="E3519" t="s">
        <v>149</v>
      </c>
    </row>
    <row r="3520" spans="5:5" x14ac:dyDescent="0.25">
      <c r="E3520" t="s">
        <v>149</v>
      </c>
    </row>
    <row r="3521" spans="5:5" x14ac:dyDescent="0.25">
      <c r="E3521" t="s">
        <v>149</v>
      </c>
    </row>
    <row r="3522" spans="5:5" x14ac:dyDescent="0.25">
      <c r="E3522" t="s">
        <v>149</v>
      </c>
    </row>
    <row r="3523" spans="5:5" x14ac:dyDescent="0.25">
      <c r="E3523" t="s">
        <v>149</v>
      </c>
    </row>
    <row r="3524" spans="5:5" x14ac:dyDescent="0.25">
      <c r="E3524" t="s">
        <v>149</v>
      </c>
    </row>
    <row r="3525" spans="5:5" x14ac:dyDescent="0.25">
      <c r="E3525" t="s">
        <v>149</v>
      </c>
    </row>
    <row r="3526" spans="5:5" x14ac:dyDescent="0.25">
      <c r="E3526" t="s">
        <v>149</v>
      </c>
    </row>
    <row r="3527" spans="5:5" x14ac:dyDescent="0.25">
      <c r="E3527" t="s">
        <v>149</v>
      </c>
    </row>
    <row r="3528" spans="5:5" x14ac:dyDescent="0.25">
      <c r="E3528" t="s">
        <v>149</v>
      </c>
    </row>
    <row r="3529" spans="5:5" x14ac:dyDescent="0.25">
      <c r="E3529" t="s">
        <v>149</v>
      </c>
    </row>
    <row r="3530" spans="5:5" x14ac:dyDescent="0.25">
      <c r="E3530" t="s">
        <v>149</v>
      </c>
    </row>
    <row r="3531" spans="5:5" x14ac:dyDescent="0.25">
      <c r="E3531" t="s">
        <v>149</v>
      </c>
    </row>
    <row r="3532" spans="5:5" x14ac:dyDescent="0.25">
      <c r="E3532" t="s">
        <v>149</v>
      </c>
    </row>
    <row r="3533" spans="5:5" x14ac:dyDescent="0.25">
      <c r="E3533" t="s">
        <v>149</v>
      </c>
    </row>
    <row r="3534" spans="5:5" x14ac:dyDescent="0.25">
      <c r="E3534" t="s">
        <v>149</v>
      </c>
    </row>
    <row r="3535" spans="5:5" x14ac:dyDescent="0.25">
      <c r="E3535" t="s">
        <v>149</v>
      </c>
    </row>
    <row r="3536" spans="5:5" x14ac:dyDescent="0.25">
      <c r="E3536" t="s">
        <v>149</v>
      </c>
    </row>
    <row r="3537" spans="5:5" x14ac:dyDescent="0.25">
      <c r="E3537" t="s">
        <v>149</v>
      </c>
    </row>
    <row r="3538" spans="5:5" x14ac:dyDescent="0.25">
      <c r="E3538" t="s">
        <v>149</v>
      </c>
    </row>
    <row r="3539" spans="5:5" x14ac:dyDescent="0.25">
      <c r="E3539" t="s">
        <v>149</v>
      </c>
    </row>
    <row r="3540" spans="5:5" x14ac:dyDescent="0.25">
      <c r="E3540" t="s">
        <v>149</v>
      </c>
    </row>
    <row r="3541" spans="5:5" x14ac:dyDescent="0.25">
      <c r="E3541" t="s">
        <v>149</v>
      </c>
    </row>
    <row r="3542" spans="5:5" x14ac:dyDescent="0.25">
      <c r="E3542" t="s">
        <v>149</v>
      </c>
    </row>
    <row r="3543" spans="5:5" x14ac:dyDescent="0.25">
      <c r="E3543" t="s">
        <v>149</v>
      </c>
    </row>
    <row r="3544" spans="5:5" x14ac:dyDescent="0.25">
      <c r="E3544" t="s">
        <v>149</v>
      </c>
    </row>
    <row r="3545" spans="5:5" x14ac:dyDescent="0.25">
      <c r="E3545" t="s">
        <v>149</v>
      </c>
    </row>
    <row r="3546" spans="5:5" x14ac:dyDescent="0.25">
      <c r="E3546" t="s">
        <v>149</v>
      </c>
    </row>
    <row r="3547" spans="5:5" x14ac:dyDescent="0.25">
      <c r="E3547" t="s">
        <v>149</v>
      </c>
    </row>
    <row r="3548" spans="5:5" x14ac:dyDescent="0.25">
      <c r="E3548" t="s">
        <v>149</v>
      </c>
    </row>
    <row r="3549" spans="5:5" x14ac:dyDescent="0.25">
      <c r="E3549" t="s">
        <v>149</v>
      </c>
    </row>
    <row r="3550" spans="5:5" x14ac:dyDescent="0.25">
      <c r="E3550" t="s">
        <v>149</v>
      </c>
    </row>
    <row r="3551" spans="5:5" x14ac:dyDescent="0.25">
      <c r="E3551" t="s">
        <v>149</v>
      </c>
    </row>
    <row r="3552" spans="5:5" x14ac:dyDescent="0.25">
      <c r="E3552" t="s">
        <v>149</v>
      </c>
    </row>
    <row r="3553" spans="5:5" x14ac:dyDescent="0.25">
      <c r="E3553" t="s">
        <v>149</v>
      </c>
    </row>
    <row r="3554" spans="5:5" x14ac:dyDescent="0.25">
      <c r="E3554" t="s">
        <v>149</v>
      </c>
    </row>
    <row r="3555" spans="5:5" x14ac:dyDescent="0.25">
      <c r="E3555" t="s">
        <v>149</v>
      </c>
    </row>
    <row r="3556" spans="5:5" x14ac:dyDescent="0.25">
      <c r="E3556" t="s">
        <v>149</v>
      </c>
    </row>
    <row r="3557" spans="5:5" x14ac:dyDescent="0.25">
      <c r="E3557" t="s">
        <v>149</v>
      </c>
    </row>
    <row r="3558" spans="5:5" x14ac:dyDescent="0.25">
      <c r="E3558" t="s">
        <v>149</v>
      </c>
    </row>
    <row r="3559" spans="5:5" x14ac:dyDescent="0.25">
      <c r="E3559" t="s">
        <v>149</v>
      </c>
    </row>
    <row r="3560" spans="5:5" x14ac:dyDescent="0.25">
      <c r="E3560" t="s">
        <v>149</v>
      </c>
    </row>
    <row r="3561" spans="5:5" x14ac:dyDescent="0.25">
      <c r="E3561" t="s">
        <v>149</v>
      </c>
    </row>
    <row r="3562" spans="5:5" x14ac:dyDescent="0.25">
      <c r="E3562" t="s">
        <v>149</v>
      </c>
    </row>
    <row r="3563" spans="5:5" x14ac:dyDescent="0.25">
      <c r="E3563" t="s">
        <v>149</v>
      </c>
    </row>
    <row r="3564" spans="5:5" x14ac:dyDescent="0.25">
      <c r="E3564" t="s">
        <v>149</v>
      </c>
    </row>
    <row r="3565" spans="5:5" x14ac:dyDescent="0.25">
      <c r="E3565" t="s">
        <v>149</v>
      </c>
    </row>
    <row r="3566" spans="5:5" x14ac:dyDescent="0.25">
      <c r="E3566" t="s">
        <v>149</v>
      </c>
    </row>
    <row r="3567" spans="5:5" x14ac:dyDescent="0.25">
      <c r="E3567" t="s">
        <v>149</v>
      </c>
    </row>
    <row r="3568" spans="5:5" x14ac:dyDescent="0.25">
      <c r="E3568" t="s">
        <v>149</v>
      </c>
    </row>
    <row r="3569" spans="5:5" x14ac:dyDescent="0.25">
      <c r="E3569" t="s">
        <v>149</v>
      </c>
    </row>
    <row r="3570" spans="5:5" x14ac:dyDescent="0.25">
      <c r="E3570" t="s">
        <v>149</v>
      </c>
    </row>
    <row r="3571" spans="5:5" x14ac:dyDescent="0.25">
      <c r="E3571" t="s">
        <v>149</v>
      </c>
    </row>
    <row r="3572" spans="5:5" x14ac:dyDescent="0.25">
      <c r="E3572" t="s">
        <v>149</v>
      </c>
    </row>
    <row r="3573" spans="5:5" x14ac:dyDescent="0.25">
      <c r="E3573" t="s">
        <v>149</v>
      </c>
    </row>
    <row r="3574" spans="5:5" x14ac:dyDescent="0.25">
      <c r="E3574" t="s">
        <v>149</v>
      </c>
    </row>
    <row r="3575" spans="5:5" x14ac:dyDescent="0.25">
      <c r="E3575" t="s">
        <v>149</v>
      </c>
    </row>
    <row r="3576" spans="5:5" x14ac:dyDescent="0.25">
      <c r="E3576" t="s">
        <v>149</v>
      </c>
    </row>
    <row r="3577" spans="5:5" x14ac:dyDescent="0.25">
      <c r="E3577" t="s">
        <v>149</v>
      </c>
    </row>
    <row r="3578" spans="5:5" x14ac:dyDescent="0.25">
      <c r="E3578" t="s">
        <v>149</v>
      </c>
    </row>
    <row r="3579" spans="5:5" x14ac:dyDescent="0.25">
      <c r="E3579" t="s">
        <v>149</v>
      </c>
    </row>
    <row r="3580" spans="5:5" x14ac:dyDescent="0.25">
      <c r="E3580" t="s">
        <v>149</v>
      </c>
    </row>
    <row r="3581" spans="5:5" x14ac:dyDescent="0.25">
      <c r="E3581" t="s">
        <v>149</v>
      </c>
    </row>
    <row r="3582" spans="5:5" x14ac:dyDescent="0.25">
      <c r="E3582" t="s">
        <v>149</v>
      </c>
    </row>
    <row r="3583" spans="5:5" x14ac:dyDescent="0.25">
      <c r="E3583" t="s">
        <v>149</v>
      </c>
    </row>
    <row r="3584" spans="5:5" x14ac:dyDescent="0.25">
      <c r="E3584" t="s">
        <v>149</v>
      </c>
    </row>
    <row r="3585" spans="5:5" x14ac:dyDescent="0.25">
      <c r="E3585" t="s">
        <v>149</v>
      </c>
    </row>
    <row r="3586" spans="5:5" x14ac:dyDescent="0.25">
      <c r="E3586" t="s">
        <v>149</v>
      </c>
    </row>
    <row r="3587" spans="5:5" x14ac:dyDescent="0.25">
      <c r="E3587" t="s">
        <v>149</v>
      </c>
    </row>
    <row r="3588" spans="5:5" x14ac:dyDescent="0.25">
      <c r="E3588" t="s">
        <v>149</v>
      </c>
    </row>
    <row r="3589" spans="5:5" x14ac:dyDescent="0.25">
      <c r="E3589" t="s">
        <v>149</v>
      </c>
    </row>
    <row r="3590" spans="5:5" x14ac:dyDescent="0.25">
      <c r="E3590" t="s">
        <v>149</v>
      </c>
    </row>
    <row r="3591" spans="5:5" x14ac:dyDescent="0.25">
      <c r="E3591" t="s">
        <v>149</v>
      </c>
    </row>
    <row r="3592" spans="5:5" x14ac:dyDescent="0.25">
      <c r="E3592" t="s">
        <v>149</v>
      </c>
    </row>
    <row r="3593" spans="5:5" x14ac:dyDescent="0.25">
      <c r="E3593" t="s">
        <v>149</v>
      </c>
    </row>
    <row r="3594" spans="5:5" x14ac:dyDescent="0.25">
      <c r="E3594" t="s">
        <v>149</v>
      </c>
    </row>
    <row r="3595" spans="5:5" x14ac:dyDescent="0.25">
      <c r="E3595" t="s">
        <v>149</v>
      </c>
    </row>
    <row r="3596" spans="5:5" x14ac:dyDescent="0.25">
      <c r="E3596" t="s">
        <v>149</v>
      </c>
    </row>
    <row r="3597" spans="5:5" x14ac:dyDescent="0.25">
      <c r="E3597" t="s">
        <v>149</v>
      </c>
    </row>
    <row r="3598" spans="5:5" x14ac:dyDescent="0.25">
      <c r="E3598" t="s">
        <v>149</v>
      </c>
    </row>
    <row r="3599" spans="5:5" x14ac:dyDescent="0.25">
      <c r="E3599" t="s">
        <v>149</v>
      </c>
    </row>
    <row r="3600" spans="5:5" x14ac:dyDescent="0.25">
      <c r="E3600" t="s">
        <v>149</v>
      </c>
    </row>
    <row r="3601" spans="5:5" x14ac:dyDescent="0.25">
      <c r="E3601" t="s">
        <v>149</v>
      </c>
    </row>
    <row r="3602" spans="5:5" x14ac:dyDescent="0.25">
      <c r="E3602" t="s">
        <v>149</v>
      </c>
    </row>
    <row r="3603" spans="5:5" x14ac:dyDescent="0.25">
      <c r="E3603" t="s">
        <v>149</v>
      </c>
    </row>
    <row r="3604" spans="5:5" x14ac:dyDescent="0.25">
      <c r="E3604" t="s">
        <v>149</v>
      </c>
    </row>
    <row r="3605" spans="5:5" x14ac:dyDescent="0.25">
      <c r="E3605" t="s">
        <v>149</v>
      </c>
    </row>
    <row r="3606" spans="5:5" x14ac:dyDescent="0.25">
      <c r="E3606" t="s">
        <v>149</v>
      </c>
    </row>
    <row r="3607" spans="5:5" x14ac:dyDescent="0.25">
      <c r="E3607" t="s">
        <v>149</v>
      </c>
    </row>
    <row r="3608" spans="5:5" x14ac:dyDescent="0.25">
      <c r="E3608" t="s">
        <v>149</v>
      </c>
    </row>
    <row r="3609" spans="5:5" x14ac:dyDescent="0.25">
      <c r="E3609" t="s">
        <v>149</v>
      </c>
    </row>
    <row r="3610" spans="5:5" x14ac:dyDescent="0.25">
      <c r="E3610" t="s">
        <v>149</v>
      </c>
    </row>
    <row r="3611" spans="5:5" x14ac:dyDescent="0.25">
      <c r="E3611" t="s">
        <v>149</v>
      </c>
    </row>
    <row r="3612" spans="5:5" x14ac:dyDescent="0.25">
      <c r="E3612" t="s">
        <v>149</v>
      </c>
    </row>
    <row r="3613" spans="5:5" x14ac:dyDescent="0.25">
      <c r="E3613" t="s">
        <v>149</v>
      </c>
    </row>
    <row r="3614" spans="5:5" x14ac:dyDescent="0.25">
      <c r="E3614" t="s">
        <v>149</v>
      </c>
    </row>
    <row r="3615" spans="5:5" x14ac:dyDescent="0.25">
      <c r="E3615" t="s">
        <v>149</v>
      </c>
    </row>
    <row r="3616" spans="5:5" x14ac:dyDescent="0.25">
      <c r="E3616" t="s">
        <v>149</v>
      </c>
    </row>
    <row r="3617" spans="5:5" x14ac:dyDescent="0.25">
      <c r="E3617" t="s">
        <v>149</v>
      </c>
    </row>
    <row r="3618" spans="5:5" x14ac:dyDescent="0.25">
      <c r="E3618" t="s">
        <v>149</v>
      </c>
    </row>
    <row r="3619" spans="5:5" x14ac:dyDescent="0.25">
      <c r="E3619" t="s">
        <v>149</v>
      </c>
    </row>
    <row r="3620" spans="5:5" x14ac:dyDescent="0.25">
      <c r="E3620" t="s">
        <v>149</v>
      </c>
    </row>
    <row r="3621" spans="5:5" x14ac:dyDescent="0.25">
      <c r="E3621" t="s">
        <v>149</v>
      </c>
    </row>
    <row r="3622" spans="5:5" x14ac:dyDescent="0.25">
      <c r="E3622" t="s">
        <v>149</v>
      </c>
    </row>
    <row r="3623" spans="5:5" x14ac:dyDescent="0.25">
      <c r="E3623" t="s">
        <v>149</v>
      </c>
    </row>
    <row r="3624" spans="5:5" x14ac:dyDescent="0.25">
      <c r="E3624" t="s">
        <v>149</v>
      </c>
    </row>
    <row r="3625" spans="5:5" x14ac:dyDescent="0.25">
      <c r="E3625" t="s">
        <v>149</v>
      </c>
    </row>
    <row r="3626" spans="5:5" x14ac:dyDescent="0.25">
      <c r="E3626" t="s">
        <v>149</v>
      </c>
    </row>
    <row r="3627" spans="5:5" x14ac:dyDescent="0.25">
      <c r="E3627" t="s">
        <v>149</v>
      </c>
    </row>
    <row r="3628" spans="5:5" x14ac:dyDescent="0.25">
      <c r="E3628" t="s">
        <v>149</v>
      </c>
    </row>
    <row r="3629" spans="5:5" x14ac:dyDescent="0.25">
      <c r="E3629" t="s">
        <v>149</v>
      </c>
    </row>
    <row r="3630" spans="5:5" x14ac:dyDescent="0.25">
      <c r="E3630" t="s">
        <v>149</v>
      </c>
    </row>
    <row r="3631" spans="5:5" x14ac:dyDescent="0.25">
      <c r="E3631" t="s">
        <v>149</v>
      </c>
    </row>
    <row r="3632" spans="5:5" x14ac:dyDescent="0.25">
      <c r="E3632" t="s">
        <v>149</v>
      </c>
    </row>
    <row r="3633" spans="5:5" x14ac:dyDescent="0.25">
      <c r="E3633" t="s">
        <v>149</v>
      </c>
    </row>
    <row r="3634" spans="5:5" x14ac:dyDescent="0.25">
      <c r="E3634" t="s">
        <v>149</v>
      </c>
    </row>
    <row r="3635" spans="5:5" x14ac:dyDescent="0.25">
      <c r="E3635" t="s">
        <v>149</v>
      </c>
    </row>
    <row r="3636" spans="5:5" x14ac:dyDescent="0.25">
      <c r="E3636" t="s">
        <v>149</v>
      </c>
    </row>
    <row r="3637" spans="5:5" x14ac:dyDescent="0.25">
      <c r="E3637" t="s">
        <v>149</v>
      </c>
    </row>
    <row r="3638" spans="5:5" x14ac:dyDescent="0.25">
      <c r="E3638" t="s">
        <v>149</v>
      </c>
    </row>
    <row r="3639" spans="5:5" x14ac:dyDescent="0.25">
      <c r="E3639" t="s">
        <v>149</v>
      </c>
    </row>
    <row r="3640" spans="5:5" x14ac:dyDescent="0.25">
      <c r="E3640" t="s">
        <v>149</v>
      </c>
    </row>
    <row r="3641" spans="5:5" x14ac:dyDescent="0.25">
      <c r="E3641" t="s">
        <v>149</v>
      </c>
    </row>
    <row r="3642" spans="5:5" x14ac:dyDescent="0.25">
      <c r="E3642" t="s">
        <v>149</v>
      </c>
    </row>
    <row r="3643" spans="5:5" x14ac:dyDescent="0.25">
      <c r="E3643" t="s">
        <v>149</v>
      </c>
    </row>
    <row r="3644" spans="5:5" x14ac:dyDescent="0.25">
      <c r="E3644" t="s">
        <v>149</v>
      </c>
    </row>
    <row r="3645" spans="5:5" x14ac:dyDescent="0.25">
      <c r="E3645" t="s">
        <v>149</v>
      </c>
    </row>
    <row r="3646" spans="5:5" x14ac:dyDescent="0.25">
      <c r="E3646" t="s">
        <v>149</v>
      </c>
    </row>
    <row r="3647" spans="5:5" x14ac:dyDescent="0.25">
      <c r="E3647" t="s">
        <v>149</v>
      </c>
    </row>
    <row r="3648" spans="5:5" x14ac:dyDescent="0.25">
      <c r="E3648" t="s">
        <v>149</v>
      </c>
    </row>
    <row r="3649" spans="5:5" x14ac:dyDescent="0.25">
      <c r="E3649" t="s">
        <v>149</v>
      </c>
    </row>
    <row r="3650" spans="5:5" x14ac:dyDescent="0.25">
      <c r="E3650" t="s">
        <v>149</v>
      </c>
    </row>
    <row r="3651" spans="5:5" x14ac:dyDescent="0.25">
      <c r="E3651" t="s">
        <v>149</v>
      </c>
    </row>
    <row r="3652" spans="5:5" x14ac:dyDescent="0.25">
      <c r="E3652" t="s">
        <v>149</v>
      </c>
    </row>
    <row r="3653" spans="5:5" x14ac:dyDescent="0.25">
      <c r="E3653" t="s">
        <v>149</v>
      </c>
    </row>
    <row r="3654" spans="5:5" x14ac:dyDescent="0.25">
      <c r="E3654" t="s">
        <v>149</v>
      </c>
    </row>
    <row r="3655" spans="5:5" x14ac:dyDescent="0.25">
      <c r="E3655" t="s">
        <v>149</v>
      </c>
    </row>
    <row r="3656" spans="5:5" x14ac:dyDescent="0.25">
      <c r="E3656" t="s">
        <v>149</v>
      </c>
    </row>
    <row r="3657" spans="5:5" x14ac:dyDescent="0.25">
      <c r="E3657" t="s">
        <v>149</v>
      </c>
    </row>
    <row r="3658" spans="5:5" x14ac:dyDescent="0.25">
      <c r="E3658" t="s">
        <v>149</v>
      </c>
    </row>
    <row r="3659" spans="5:5" x14ac:dyDescent="0.25">
      <c r="E3659" t="s">
        <v>149</v>
      </c>
    </row>
    <row r="3660" spans="5:5" x14ac:dyDescent="0.25">
      <c r="E3660" t="s">
        <v>149</v>
      </c>
    </row>
    <row r="3661" spans="5:5" x14ac:dyDescent="0.25">
      <c r="E3661" t="s">
        <v>149</v>
      </c>
    </row>
  </sheetData>
  <autoFilter ref="A1:E3661" xr:uid="{EB1BC67E-D78C-4C61-AA7C-9E2A543B21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FBFB-A6D6-4914-BF55-50E630241196}">
  <dimension ref="A1:E3662"/>
  <sheetViews>
    <sheetView workbookViewId="0">
      <selection activeCell="I10" sqref="I10"/>
    </sheetView>
  </sheetViews>
  <sheetFormatPr defaultRowHeight="15" x14ac:dyDescent="0.25"/>
  <cols>
    <col min="11" max="11" width="13.28515625" customWidth="1"/>
    <col min="14" max="14" width="29.5703125" customWidth="1"/>
    <col min="15" max="15" width="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>
        <v>2283</v>
      </c>
      <c r="B2" t="s">
        <v>152</v>
      </c>
      <c r="C2">
        <v>728</v>
      </c>
      <c r="D2" s="3" t="s">
        <v>153</v>
      </c>
      <c r="E2" t="s">
        <v>7</v>
      </c>
    </row>
    <row r="3" spans="1:5" x14ac:dyDescent="0.25">
      <c r="A3">
        <v>2283</v>
      </c>
      <c r="B3" t="s">
        <v>152</v>
      </c>
      <c r="C3">
        <v>1528</v>
      </c>
      <c r="D3" s="3" t="s">
        <v>154</v>
      </c>
      <c r="E3" t="s">
        <v>7</v>
      </c>
    </row>
    <row r="4" spans="1:5" x14ac:dyDescent="0.25">
      <c r="A4">
        <v>2283</v>
      </c>
      <c r="B4" t="s">
        <v>152</v>
      </c>
      <c r="C4">
        <v>736</v>
      </c>
      <c r="D4" s="3" t="s">
        <v>155</v>
      </c>
      <c r="E4" t="s">
        <v>7</v>
      </c>
    </row>
    <row r="5" spans="1:5" x14ac:dyDescent="0.25">
      <c r="A5">
        <v>2283</v>
      </c>
      <c r="B5" t="s">
        <v>152</v>
      </c>
      <c r="C5">
        <v>1520</v>
      </c>
      <c r="D5" s="3" t="s">
        <v>156</v>
      </c>
      <c r="E5" t="s">
        <v>7</v>
      </c>
    </row>
    <row r="6" spans="1:5" x14ac:dyDescent="0.25">
      <c r="A6">
        <v>2285</v>
      </c>
      <c r="B6" t="s">
        <v>157</v>
      </c>
      <c r="C6">
        <v>712</v>
      </c>
      <c r="D6" s="3" t="s">
        <v>158</v>
      </c>
      <c r="E6" t="s">
        <v>7</v>
      </c>
    </row>
    <row r="7" spans="1:5" x14ac:dyDescent="0.25">
      <c r="A7">
        <v>2289</v>
      </c>
      <c r="B7" t="s">
        <v>159</v>
      </c>
      <c r="C7">
        <v>552</v>
      </c>
      <c r="D7" s="3" t="s">
        <v>153</v>
      </c>
      <c r="E7" t="s">
        <v>7</v>
      </c>
    </row>
    <row r="8" spans="1:5" x14ac:dyDescent="0.25">
      <c r="A8">
        <v>2289</v>
      </c>
      <c r="B8" t="s">
        <v>159</v>
      </c>
      <c r="C8">
        <v>1104</v>
      </c>
      <c r="D8" s="3" t="s">
        <v>154</v>
      </c>
      <c r="E8" t="s">
        <v>7</v>
      </c>
    </row>
    <row r="9" spans="1:5" x14ac:dyDescent="0.25">
      <c r="A9">
        <v>2289</v>
      </c>
      <c r="B9" t="s">
        <v>159</v>
      </c>
      <c r="C9">
        <v>416</v>
      </c>
      <c r="D9" s="3" t="s">
        <v>158</v>
      </c>
      <c r="E9" t="s">
        <v>7</v>
      </c>
    </row>
    <row r="10" spans="1:5" x14ac:dyDescent="0.25">
      <c r="A10">
        <v>2290</v>
      </c>
      <c r="B10" t="s">
        <v>160</v>
      </c>
      <c r="C10">
        <v>360</v>
      </c>
      <c r="D10" s="3" t="s">
        <v>153</v>
      </c>
      <c r="E10" t="s">
        <v>7</v>
      </c>
    </row>
    <row r="11" spans="1:5" x14ac:dyDescent="0.25">
      <c r="A11">
        <v>2543</v>
      </c>
      <c r="B11" t="s">
        <v>161</v>
      </c>
      <c r="C11">
        <v>680</v>
      </c>
      <c r="D11" s="3" t="s">
        <v>155</v>
      </c>
      <c r="E11" t="s">
        <v>7</v>
      </c>
    </row>
    <row r="12" spans="1:5" x14ac:dyDescent="0.25">
      <c r="A12">
        <v>2553</v>
      </c>
      <c r="B12" t="s">
        <v>162</v>
      </c>
      <c r="C12">
        <v>780</v>
      </c>
      <c r="D12" s="3" t="s">
        <v>163</v>
      </c>
      <c r="E12" t="s">
        <v>7</v>
      </c>
    </row>
    <row r="13" spans="1:5" x14ac:dyDescent="0.25">
      <c r="A13">
        <v>2553</v>
      </c>
      <c r="B13" t="s">
        <v>162</v>
      </c>
      <c r="C13">
        <v>840</v>
      </c>
      <c r="D13" s="3" t="s">
        <v>155</v>
      </c>
      <c r="E13" t="s">
        <v>7</v>
      </c>
    </row>
    <row r="14" spans="1:5" x14ac:dyDescent="0.25">
      <c r="A14">
        <v>2738</v>
      </c>
      <c r="B14" t="s">
        <v>16</v>
      </c>
      <c r="C14">
        <v>1260</v>
      </c>
      <c r="D14" s="3" t="s">
        <v>158</v>
      </c>
      <c r="E14" t="s">
        <v>15</v>
      </c>
    </row>
    <row r="15" spans="1:5" x14ac:dyDescent="0.25">
      <c r="A15">
        <v>2738</v>
      </c>
      <c r="B15" t="s">
        <v>16</v>
      </c>
      <c r="C15">
        <v>630</v>
      </c>
      <c r="D15" s="3" t="s">
        <v>164</v>
      </c>
      <c r="E15" t="s">
        <v>15</v>
      </c>
    </row>
    <row r="16" spans="1:5" x14ac:dyDescent="0.25">
      <c r="A16">
        <v>9000</v>
      </c>
      <c r="B16" t="s">
        <v>27</v>
      </c>
      <c r="C16">
        <v>4995</v>
      </c>
      <c r="D16" s="3" t="s">
        <v>163</v>
      </c>
      <c r="E16" t="s">
        <v>28</v>
      </c>
    </row>
    <row r="17" spans="1:5" x14ac:dyDescent="0.25">
      <c r="A17">
        <v>9000</v>
      </c>
      <c r="B17" t="s">
        <v>27</v>
      </c>
      <c r="C17">
        <v>648</v>
      </c>
      <c r="D17" s="3" t="s">
        <v>158</v>
      </c>
      <c r="E17" t="s">
        <v>28</v>
      </c>
    </row>
    <row r="18" spans="1:5" x14ac:dyDescent="0.25">
      <c r="A18">
        <v>9000</v>
      </c>
      <c r="B18" t="s">
        <v>27</v>
      </c>
      <c r="C18">
        <v>486</v>
      </c>
      <c r="D18" s="3" t="s">
        <v>165</v>
      </c>
      <c r="E18" t="s">
        <v>28</v>
      </c>
    </row>
    <row r="19" spans="1:5" x14ac:dyDescent="0.25">
      <c r="A19">
        <v>9000</v>
      </c>
      <c r="B19" t="s">
        <v>27</v>
      </c>
      <c r="C19">
        <v>2160</v>
      </c>
      <c r="D19" s="3" t="s">
        <v>166</v>
      </c>
      <c r="E19" t="s">
        <v>28</v>
      </c>
    </row>
    <row r="20" spans="1:5" x14ac:dyDescent="0.25">
      <c r="A20">
        <v>9001</v>
      </c>
      <c r="B20" t="s">
        <v>29</v>
      </c>
      <c r="C20">
        <v>8856</v>
      </c>
      <c r="D20" s="3" t="s">
        <v>167</v>
      </c>
      <c r="E20" t="s">
        <v>28</v>
      </c>
    </row>
    <row r="21" spans="1:5" x14ac:dyDescent="0.25">
      <c r="A21">
        <v>9001</v>
      </c>
      <c r="B21" t="s">
        <v>29</v>
      </c>
      <c r="C21">
        <v>1512</v>
      </c>
      <c r="D21" s="3" t="s">
        <v>168</v>
      </c>
      <c r="E21" t="s">
        <v>28</v>
      </c>
    </row>
    <row r="22" spans="1:5" x14ac:dyDescent="0.25">
      <c r="A22">
        <v>9001</v>
      </c>
      <c r="B22" t="s">
        <v>29</v>
      </c>
      <c r="C22">
        <v>4824</v>
      </c>
      <c r="D22" s="3" t="s">
        <v>169</v>
      </c>
      <c r="E22" t="s">
        <v>28</v>
      </c>
    </row>
    <row r="23" spans="1:5" x14ac:dyDescent="0.25">
      <c r="A23">
        <v>9001</v>
      </c>
      <c r="B23" t="s">
        <v>29</v>
      </c>
      <c r="C23">
        <v>4500</v>
      </c>
      <c r="D23" s="3" t="s">
        <v>156</v>
      </c>
      <c r="E23" t="s">
        <v>28</v>
      </c>
    </row>
    <row r="24" spans="1:5" x14ac:dyDescent="0.25">
      <c r="A24">
        <v>9001</v>
      </c>
      <c r="B24" t="s">
        <v>29</v>
      </c>
      <c r="C24">
        <v>4248</v>
      </c>
      <c r="D24" s="3" t="s">
        <v>158</v>
      </c>
      <c r="E24" t="s">
        <v>28</v>
      </c>
    </row>
    <row r="25" spans="1:5" x14ac:dyDescent="0.25">
      <c r="A25">
        <v>9001</v>
      </c>
      <c r="B25" t="s">
        <v>29</v>
      </c>
      <c r="C25">
        <v>3384</v>
      </c>
      <c r="D25" s="3" t="s">
        <v>165</v>
      </c>
      <c r="E25" t="s">
        <v>28</v>
      </c>
    </row>
    <row r="26" spans="1:5" x14ac:dyDescent="0.25">
      <c r="A26">
        <v>9001</v>
      </c>
      <c r="B26" t="s">
        <v>29</v>
      </c>
      <c r="C26">
        <v>4032</v>
      </c>
      <c r="D26" s="3" t="s">
        <v>166</v>
      </c>
      <c r="E26" t="s">
        <v>28</v>
      </c>
    </row>
    <row r="27" spans="1:5" x14ac:dyDescent="0.25">
      <c r="A27">
        <v>9002</v>
      </c>
      <c r="B27" t="s">
        <v>170</v>
      </c>
      <c r="C27">
        <v>1584</v>
      </c>
      <c r="D27" s="3" t="s">
        <v>156</v>
      </c>
      <c r="E27" t="s">
        <v>28</v>
      </c>
    </row>
    <row r="28" spans="1:5" x14ac:dyDescent="0.25">
      <c r="A28">
        <v>9003</v>
      </c>
      <c r="B28" t="s">
        <v>32</v>
      </c>
      <c r="C28">
        <v>648</v>
      </c>
      <c r="D28" s="3" t="s">
        <v>167</v>
      </c>
      <c r="E28" t="s">
        <v>28</v>
      </c>
    </row>
    <row r="29" spans="1:5" x14ac:dyDescent="0.25">
      <c r="A29">
        <v>9003</v>
      </c>
      <c r="B29" t="s">
        <v>32</v>
      </c>
      <c r="C29">
        <v>6048</v>
      </c>
      <c r="D29" s="3" t="s">
        <v>168</v>
      </c>
      <c r="E29" t="s">
        <v>28</v>
      </c>
    </row>
    <row r="30" spans="1:5" x14ac:dyDescent="0.25">
      <c r="A30">
        <v>9003</v>
      </c>
      <c r="B30" t="s">
        <v>32</v>
      </c>
      <c r="C30">
        <v>6084</v>
      </c>
      <c r="D30" s="3" t="s">
        <v>169</v>
      </c>
      <c r="E30" t="s">
        <v>28</v>
      </c>
    </row>
    <row r="31" spans="1:5" x14ac:dyDescent="0.25">
      <c r="A31">
        <v>9003</v>
      </c>
      <c r="B31" t="s">
        <v>32</v>
      </c>
      <c r="C31">
        <v>1800</v>
      </c>
      <c r="D31" s="3" t="s">
        <v>156</v>
      </c>
      <c r="E31" t="s">
        <v>28</v>
      </c>
    </row>
    <row r="32" spans="1:5" x14ac:dyDescent="0.25">
      <c r="A32">
        <v>9003</v>
      </c>
      <c r="B32" t="s">
        <v>32</v>
      </c>
      <c r="C32">
        <v>4608</v>
      </c>
      <c r="D32" s="3" t="s">
        <v>158</v>
      </c>
      <c r="E32" t="s">
        <v>28</v>
      </c>
    </row>
    <row r="33" spans="1:5" x14ac:dyDescent="0.25">
      <c r="A33">
        <v>9003</v>
      </c>
      <c r="B33" t="s">
        <v>32</v>
      </c>
      <c r="C33">
        <v>4608</v>
      </c>
      <c r="D33" s="3" t="s">
        <v>165</v>
      </c>
      <c r="E33" t="s">
        <v>28</v>
      </c>
    </row>
    <row r="34" spans="1:5" x14ac:dyDescent="0.25">
      <c r="A34">
        <v>9003</v>
      </c>
      <c r="B34" t="s">
        <v>32</v>
      </c>
      <c r="C34">
        <v>756</v>
      </c>
      <c r="D34" s="3" t="s">
        <v>166</v>
      </c>
      <c r="E34" t="s">
        <v>28</v>
      </c>
    </row>
    <row r="35" spans="1:5" x14ac:dyDescent="0.25">
      <c r="A35">
        <v>9004</v>
      </c>
      <c r="B35" t="s">
        <v>33</v>
      </c>
      <c r="C35">
        <v>2592</v>
      </c>
      <c r="D35" s="3" t="s">
        <v>168</v>
      </c>
      <c r="E35" t="s">
        <v>28</v>
      </c>
    </row>
    <row r="36" spans="1:5" x14ac:dyDescent="0.25">
      <c r="A36">
        <v>9004</v>
      </c>
      <c r="B36" t="s">
        <v>33</v>
      </c>
      <c r="C36">
        <v>3096</v>
      </c>
      <c r="D36" s="3" t="s">
        <v>156</v>
      </c>
      <c r="E36" t="s">
        <v>28</v>
      </c>
    </row>
    <row r="37" spans="1:5" x14ac:dyDescent="0.25">
      <c r="A37">
        <v>9005</v>
      </c>
      <c r="B37" t="s">
        <v>34</v>
      </c>
      <c r="C37">
        <v>756</v>
      </c>
      <c r="D37" s="3" t="s">
        <v>167</v>
      </c>
      <c r="E37" t="s">
        <v>28</v>
      </c>
    </row>
    <row r="38" spans="1:5" x14ac:dyDescent="0.25">
      <c r="A38">
        <v>9009</v>
      </c>
      <c r="B38" t="s">
        <v>77</v>
      </c>
      <c r="C38">
        <v>756</v>
      </c>
      <c r="D38" s="3" t="s">
        <v>168</v>
      </c>
      <c r="E38" t="s">
        <v>28</v>
      </c>
    </row>
    <row r="39" spans="1:5" x14ac:dyDescent="0.25">
      <c r="A39">
        <v>9011</v>
      </c>
      <c r="B39" t="s">
        <v>78</v>
      </c>
      <c r="C39">
        <v>972</v>
      </c>
      <c r="D39" s="3" t="s">
        <v>166</v>
      </c>
      <c r="E39" t="s">
        <v>28</v>
      </c>
    </row>
    <row r="40" spans="1:5" x14ac:dyDescent="0.25">
      <c r="A40">
        <v>9013</v>
      </c>
      <c r="B40" t="s">
        <v>35</v>
      </c>
      <c r="C40">
        <v>900</v>
      </c>
      <c r="D40" s="3" t="s">
        <v>168</v>
      </c>
      <c r="E40" t="s">
        <v>28</v>
      </c>
    </row>
    <row r="41" spans="1:5" x14ac:dyDescent="0.25">
      <c r="A41">
        <v>9013</v>
      </c>
      <c r="B41" t="s">
        <v>35</v>
      </c>
      <c r="C41">
        <v>2700</v>
      </c>
      <c r="D41" s="3" t="s">
        <v>158</v>
      </c>
      <c r="E41" t="s">
        <v>28</v>
      </c>
    </row>
    <row r="42" spans="1:5" x14ac:dyDescent="0.25">
      <c r="A42">
        <v>9013</v>
      </c>
      <c r="B42" t="s">
        <v>35</v>
      </c>
      <c r="C42">
        <v>2664</v>
      </c>
      <c r="D42" s="3" t="s">
        <v>165</v>
      </c>
      <c r="E42" t="s">
        <v>28</v>
      </c>
    </row>
    <row r="43" spans="1:5" x14ac:dyDescent="0.25">
      <c r="A43">
        <v>9019</v>
      </c>
      <c r="B43" t="s">
        <v>37</v>
      </c>
      <c r="C43">
        <v>2700</v>
      </c>
      <c r="D43" s="3" t="s">
        <v>167</v>
      </c>
      <c r="E43" t="s">
        <v>28</v>
      </c>
    </row>
    <row r="44" spans="1:5" x14ac:dyDescent="0.25">
      <c r="A44">
        <v>9019</v>
      </c>
      <c r="B44" t="s">
        <v>37</v>
      </c>
      <c r="C44">
        <v>2844</v>
      </c>
      <c r="D44" s="3" t="s">
        <v>166</v>
      </c>
      <c r="E44" t="s">
        <v>28</v>
      </c>
    </row>
    <row r="45" spans="1:5" x14ac:dyDescent="0.25">
      <c r="A45">
        <v>9021</v>
      </c>
      <c r="B45" t="s">
        <v>38</v>
      </c>
      <c r="C45">
        <v>1872</v>
      </c>
      <c r="D45" s="3" t="s">
        <v>165</v>
      </c>
      <c r="E45" t="s">
        <v>28</v>
      </c>
    </row>
    <row r="46" spans="1:5" x14ac:dyDescent="0.25">
      <c r="A46">
        <v>9021</v>
      </c>
      <c r="B46" t="s">
        <v>38</v>
      </c>
      <c r="C46">
        <v>864</v>
      </c>
      <c r="D46" s="3" t="s">
        <v>166</v>
      </c>
      <c r="E46" t="s">
        <v>28</v>
      </c>
    </row>
    <row r="47" spans="1:5" x14ac:dyDescent="0.25">
      <c r="A47">
        <v>9024</v>
      </c>
      <c r="B47" t="s">
        <v>146</v>
      </c>
      <c r="C47">
        <v>2124</v>
      </c>
      <c r="D47" s="3" t="s">
        <v>156</v>
      </c>
      <c r="E47" t="s">
        <v>28</v>
      </c>
    </row>
    <row r="48" spans="1:5" x14ac:dyDescent="0.25">
      <c r="A48">
        <v>9025</v>
      </c>
      <c r="B48" t="s">
        <v>40</v>
      </c>
      <c r="C48">
        <v>756</v>
      </c>
      <c r="D48" s="3" t="s">
        <v>166</v>
      </c>
      <c r="E48" t="s">
        <v>28</v>
      </c>
    </row>
    <row r="49" spans="1:5" x14ac:dyDescent="0.25">
      <c r="A49">
        <v>9026</v>
      </c>
      <c r="B49" t="s">
        <v>80</v>
      </c>
      <c r="C49">
        <v>2304</v>
      </c>
      <c r="D49" s="3" t="s">
        <v>169</v>
      </c>
      <c r="E49" t="s">
        <v>28</v>
      </c>
    </row>
    <row r="50" spans="1:5" x14ac:dyDescent="0.25">
      <c r="A50">
        <v>9029</v>
      </c>
      <c r="B50" t="s">
        <v>41</v>
      </c>
      <c r="C50">
        <v>972</v>
      </c>
      <c r="D50" s="3" t="s">
        <v>158</v>
      </c>
      <c r="E50" t="s">
        <v>28</v>
      </c>
    </row>
    <row r="51" spans="1:5" x14ac:dyDescent="0.25">
      <c r="A51">
        <v>9031</v>
      </c>
      <c r="B51" t="s">
        <v>42</v>
      </c>
      <c r="C51">
        <v>3888</v>
      </c>
      <c r="D51" s="3" t="s">
        <v>171</v>
      </c>
      <c r="E51" t="s">
        <v>43</v>
      </c>
    </row>
    <row r="52" spans="1:5" x14ac:dyDescent="0.25">
      <c r="A52">
        <v>9032</v>
      </c>
      <c r="B52" t="s">
        <v>172</v>
      </c>
      <c r="C52">
        <v>1968</v>
      </c>
      <c r="D52" s="3" t="s">
        <v>164</v>
      </c>
      <c r="E52" t="s">
        <v>43</v>
      </c>
    </row>
    <row r="53" spans="1:5" x14ac:dyDescent="0.25">
      <c r="A53">
        <v>9041</v>
      </c>
      <c r="B53" t="s">
        <v>173</v>
      </c>
      <c r="C53">
        <v>564</v>
      </c>
      <c r="D53" s="3" t="s">
        <v>164</v>
      </c>
      <c r="E53" t="s">
        <v>174</v>
      </c>
    </row>
    <row r="54" spans="1:5" x14ac:dyDescent="0.25">
      <c r="A54">
        <v>9042</v>
      </c>
      <c r="B54" t="s">
        <v>175</v>
      </c>
      <c r="C54">
        <v>372</v>
      </c>
      <c r="D54" s="3" t="s">
        <v>153</v>
      </c>
      <c r="E54" t="s">
        <v>174</v>
      </c>
    </row>
    <row r="55" spans="1:5" x14ac:dyDescent="0.25">
      <c r="A55">
        <v>9042</v>
      </c>
      <c r="B55" t="s">
        <v>175</v>
      </c>
      <c r="C55">
        <v>528</v>
      </c>
      <c r="D55" s="3" t="s">
        <v>164</v>
      </c>
      <c r="E55" t="s">
        <v>174</v>
      </c>
    </row>
    <row r="56" spans="1:5" x14ac:dyDescent="0.25">
      <c r="A56">
        <v>9045</v>
      </c>
      <c r="B56" t="s">
        <v>176</v>
      </c>
      <c r="C56">
        <v>396</v>
      </c>
      <c r="D56" s="3" t="s">
        <v>153</v>
      </c>
      <c r="E56" t="s">
        <v>174</v>
      </c>
    </row>
    <row r="57" spans="1:5" x14ac:dyDescent="0.25">
      <c r="A57">
        <v>9045</v>
      </c>
      <c r="B57" t="s">
        <v>176</v>
      </c>
      <c r="C57">
        <v>552</v>
      </c>
      <c r="D57" s="3" t="s">
        <v>154</v>
      </c>
      <c r="E57" t="s">
        <v>174</v>
      </c>
    </row>
    <row r="58" spans="1:5" x14ac:dyDescent="0.25">
      <c r="A58">
        <v>9053</v>
      </c>
      <c r="B58" t="s">
        <v>44</v>
      </c>
      <c r="C58">
        <v>620</v>
      </c>
      <c r="D58" s="3" t="s">
        <v>163</v>
      </c>
      <c r="E58" t="s">
        <v>45</v>
      </c>
    </row>
    <row r="59" spans="1:5" x14ac:dyDescent="0.25">
      <c r="A59">
        <v>9053</v>
      </c>
      <c r="B59" t="s">
        <v>44</v>
      </c>
      <c r="C59">
        <v>990</v>
      </c>
      <c r="D59" s="3" t="s">
        <v>167</v>
      </c>
      <c r="E59" t="s">
        <v>45</v>
      </c>
    </row>
    <row r="60" spans="1:5" x14ac:dyDescent="0.25">
      <c r="A60">
        <v>9053</v>
      </c>
      <c r="B60" t="s">
        <v>44</v>
      </c>
      <c r="C60">
        <v>1500</v>
      </c>
      <c r="D60" s="3" t="s">
        <v>165</v>
      </c>
      <c r="E60" t="s">
        <v>45</v>
      </c>
    </row>
    <row r="61" spans="1:5" x14ac:dyDescent="0.25">
      <c r="A61">
        <v>9053</v>
      </c>
      <c r="B61" t="s">
        <v>44</v>
      </c>
      <c r="C61">
        <v>960</v>
      </c>
      <c r="D61" s="3" t="s">
        <v>164</v>
      </c>
      <c r="E61" t="s">
        <v>45</v>
      </c>
    </row>
    <row r="62" spans="1:5" x14ac:dyDescent="0.25">
      <c r="A62">
        <v>9055</v>
      </c>
      <c r="B62" t="s">
        <v>177</v>
      </c>
      <c r="C62">
        <v>300</v>
      </c>
      <c r="D62" s="3" t="s">
        <v>153</v>
      </c>
      <c r="E62" t="s">
        <v>174</v>
      </c>
    </row>
    <row r="63" spans="1:5" x14ac:dyDescent="0.25">
      <c r="A63">
        <v>9055</v>
      </c>
      <c r="B63" t="s">
        <v>177</v>
      </c>
      <c r="C63">
        <v>480</v>
      </c>
      <c r="D63" s="3" t="s">
        <v>154</v>
      </c>
      <c r="E63" t="s">
        <v>174</v>
      </c>
    </row>
    <row r="64" spans="1:5" x14ac:dyDescent="0.25">
      <c r="A64">
        <v>9188</v>
      </c>
      <c r="B64" t="s">
        <v>48</v>
      </c>
      <c r="C64">
        <v>790</v>
      </c>
      <c r="D64" s="3" t="s">
        <v>153</v>
      </c>
      <c r="E64" t="s">
        <v>15</v>
      </c>
    </row>
    <row r="65" spans="1:5" x14ac:dyDescent="0.25">
      <c r="A65">
        <v>9188</v>
      </c>
      <c r="B65" t="s">
        <v>48</v>
      </c>
      <c r="C65">
        <v>640</v>
      </c>
      <c r="D65" s="3" t="s">
        <v>154</v>
      </c>
      <c r="E65" t="s">
        <v>15</v>
      </c>
    </row>
    <row r="66" spans="1:5" x14ac:dyDescent="0.25">
      <c r="A66">
        <v>9188</v>
      </c>
      <c r="B66" t="s">
        <v>48</v>
      </c>
      <c r="C66">
        <v>520</v>
      </c>
      <c r="D66" s="3" t="s">
        <v>171</v>
      </c>
      <c r="E66" t="s">
        <v>15</v>
      </c>
    </row>
    <row r="67" spans="1:5" x14ac:dyDescent="0.25">
      <c r="A67">
        <v>9188</v>
      </c>
      <c r="B67" t="s">
        <v>48</v>
      </c>
      <c r="C67">
        <v>530</v>
      </c>
      <c r="D67" s="3" t="s">
        <v>168</v>
      </c>
      <c r="E67" t="s">
        <v>15</v>
      </c>
    </row>
    <row r="68" spans="1:5" x14ac:dyDescent="0.25">
      <c r="A68">
        <v>9188</v>
      </c>
      <c r="B68" t="s">
        <v>48</v>
      </c>
      <c r="C68">
        <v>930</v>
      </c>
      <c r="D68" s="3" t="s">
        <v>156</v>
      </c>
      <c r="E68" t="s">
        <v>15</v>
      </c>
    </row>
    <row r="69" spans="1:5" x14ac:dyDescent="0.25">
      <c r="A69">
        <v>9188</v>
      </c>
      <c r="B69" t="s">
        <v>48</v>
      </c>
      <c r="C69">
        <v>2370</v>
      </c>
      <c r="D69" s="3" t="s">
        <v>166</v>
      </c>
      <c r="E69" t="s">
        <v>15</v>
      </c>
    </row>
    <row r="70" spans="1:5" x14ac:dyDescent="0.25">
      <c r="A70">
        <v>9201</v>
      </c>
      <c r="B70" t="s">
        <v>50</v>
      </c>
      <c r="C70">
        <v>600</v>
      </c>
      <c r="D70" s="3" t="s">
        <v>153</v>
      </c>
      <c r="E70" t="s">
        <v>15</v>
      </c>
    </row>
    <row r="71" spans="1:5" x14ac:dyDescent="0.25">
      <c r="A71">
        <v>9201</v>
      </c>
      <c r="B71" t="s">
        <v>50</v>
      </c>
      <c r="C71">
        <v>780</v>
      </c>
      <c r="D71" s="3" t="s">
        <v>158</v>
      </c>
      <c r="E71" t="s">
        <v>15</v>
      </c>
    </row>
    <row r="72" spans="1:5" x14ac:dyDescent="0.25">
      <c r="A72">
        <v>9213</v>
      </c>
      <c r="B72" t="s">
        <v>84</v>
      </c>
      <c r="C72">
        <v>2112</v>
      </c>
      <c r="D72" s="3" t="s">
        <v>163</v>
      </c>
      <c r="E72" t="s">
        <v>15</v>
      </c>
    </row>
    <row r="73" spans="1:5" x14ac:dyDescent="0.25">
      <c r="A73">
        <v>9227</v>
      </c>
      <c r="B73" t="s">
        <v>178</v>
      </c>
      <c r="C73">
        <v>4032</v>
      </c>
      <c r="D73" s="3" t="s">
        <v>171</v>
      </c>
      <c r="E73" t="s">
        <v>15</v>
      </c>
    </row>
    <row r="74" spans="1:5" x14ac:dyDescent="0.25">
      <c r="A74">
        <v>9227</v>
      </c>
      <c r="B74" t="s">
        <v>178</v>
      </c>
      <c r="C74">
        <v>1008</v>
      </c>
      <c r="D74" s="3" t="s">
        <v>167</v>
      </c>
      <c r="E74" t="s">
        <v>15</v>
      </c>
    </row>
    <row r="75" spans="1:5" x14ac:dyDescent="0.25">
      <c r="A75">
        <v>9227</v>
      </c>
      <c r="B75" t="s">
        <v>178</v>
      </c>
      <c r="C75">
        <v>5040</v>
      </c>
      <c r="D75" s="3" t="s">
        <v>179</v>
      </c>
      <c r="E75" t="s">
        <v>15</v>
      </c>
    </row>
    <row r="76" spans="1:5" x14ac:dyDescent="0.25">
      <c r="A76">
        <v>9227</v>
      </c>
      <c r="B76" t="s">
        <v>178</v>
      </c>
      <c r="C76">
        <v>3024</v>
      </c>
      <c r="D76" s="3" t="s">
        <v>155</v>
      </c>
      <c r="E76" t="s">
        <v>15</v>
      </c>
    </row>
    <row r="77" spans="1:5" x14ac:dyDescent="0.25">
      <c r="A77">
        <v>9227</v>
      </c>
      <c r="B77" t="s">
        <v>178</v>
      </c>
      <c r="C77">
        <v>6048</v>
      </c>
      <c r="D77" s="3" t="s">
        <v>180</v>
      </c>
      <c r="E77" t="s">
        <v>15</v>
      </c>
    </row>
    <row r="78" spans="1:5" x14ac:dyDescent="0.25">
      <c r="A78">
        <v>9227</v>
      </c>
      <c r="B78" t="s">
        <v>178</v>
      </c>
      <c r="C78">
        <v>3024</v>
      </c>
      <c r="D78" s="3" t="s">
        <v>168</v>
      </c>
      <c r="E78" t="s">
        <v>15</v>
      </c>
    </row>
    <row r="79" spans="1:5" x14ac:dyDescent="0.25">
      <c r="A79">
        <v>9227</v>
      </c>
      <c r="B79" t="s">
        <v>178</v>
      </c>
      <c r="C79">
        <v>3720</v>
      </c>
      <c r="D79" s="3" t="s">
        <v>169</v>
      </c>
      <c r="E79" t="s">
        <v>15</v>
      </c>
    </row>
    <row r="80" spans="1:5" x14ac:dyDescent="0.25">
      <c r="A80">
        <v>2543</v>
      </c>
      <c r="B80" t="s">
        <v>161</v>
      </c>
      <c r="C80">
        <v>736</v>
      </c>
      <c r="D80" s="3" t="s">
        <v>181</v>
      </c>
      <c r="E80" t="s">
        <v>7</v>
      </c>
    </row>
    <row r="81" spans="1:5" x14ac:dyDescent="0.25">
      <c r="A81">
        <v>2553</v>
      </c>
      <c r="B81" t="s">
        <v>162</v>
      </c>
      <c r="C81">
        <v>1320</v>
      </c>
      <c r="D81" s="3" t="s">
        <v>182</v>
      </c>
      <c r="E81" t="s">
        <v>7</v>
      </c>
    </row>
    <row r="82" spans="1:5" x14ac:dyDescent="0.25">
      <c r="A82">
        <v>2738</v>
      </c>
      <c r="B82" t="s">
        <v>16</v>
      </c>
      <c r="C82">
        <v>720</v>
      </c>
      <c r="D82" s="3" t="s">
        <v>183</v>
      </c>
      <c r="E82" t="s">
        <v>15</v>
      </c>
    </row>
    <row r="83" spans="1:5" x14ac:dyDescent="0.25">
      <c r="A83">
        <v>2738</v>
      </c>
      <c r="B83" t="s">
        <v>16</v>
      </c>
      <c r="C83">
        <v>615</v>
      </c>
      <c r="D83" s="3" t="s">
        <v>184</v>
      </c>
      <c r="E83" t="s">
        <v>15</v>
      </c>
    </row>
    <row r="84" spans="1:5" x14ac:dyDescent="0.25">
      <c r="A84">
        <v>9000</v>
      </c>
      <c r="B84" t="s">
        <v>27</v>
      </c>
      <c r="C84">
        <v>4320</v>
      </c>
      <c r="D84" s="3" t="s">
        <v>183</v>
      </c>
      <c r="E84" t="s">
        <v>28</v>
      </c>
    </row>
    <row r="85" spans="1:5" x14ac:dyDescent="0.25">
      <c r="A85">
        <v>9000</v>
      </c>
      <c r="B85" t="s">
        <v>27</v>
      </c>
      <c r="C85">
        <v>8019</v>
      </c>
      <c r="D85" s="3" t="s">
        <v>184</v>
      </c>
      <c r="E85" t="s">
        <v>28</v>
      </c>
    </row>
    <row r="86" spans="1:5" x14ac:dyDescent="0.25">
      <c r="A86">
        <v>9000</v>
      </c>
      <c r="B86" t="s">
        <v>27</v>
      </c>
      <c r="C86">
        <v>4941</v>
      </c>
      <c r="D86" s="3" t="s">
        <v>182</v>
      </c>
      <c r="E86" t="s">
        <v>28</v>
      </c>
    </row>
    <row r="87" spans="1:5" x14ac:dyDescent="0.25">
      <c r="A87">
        <v>9001</v>
      </c>
      <c r="B87" t="s">
        <v>29</v>
      </c>
      <c r="C87">
        <v>540</v>
      </c>
      <c r="D87" s="3" t="s">
        <v>183</v>
      </c>
      <c r="E87" t="s">
        <v>28</v>
      </c>
    </row>
    <row r="88" spans="1:5" x14ac:dyDescent="0.25">
      <c r="A88">
        <v>9001</v>
      </c>
      <c r="B88" t="s">
        <v>29</v>
      </c>
      <c r="C88">
        <v>1152</v>
      </c>
      <c r="D88" s="3" t="s">
        <v>182</v>
      </c>
      <c r="E88" t="s">
        <v>28</v>
      </c>
    </row>
    <row r="89" spans="1:5" x14ac:dyDescent="0.25">
      <c r="A89">
        <v>9002</v>
      </c>
      <c r="B89" t="s">
        <v>170</v>
      </c>
      <c r="C89">
        <v>330</v>
      </c>
      <c r="D89" s="3" t="s">
        <v>183</v>
      </c>
      <c r="E89" t="s">
        <v>28</v>
      </c>
    </row>
    <row r="90" spans="1:5" x14ac:dyDescent="0.25">
      <c r="A90">
        <v>9002</v>
      </c>
      <c r="B90" t="s">
        <v>170</v>
      </c>
      <c r="C90">
        <v>1782</v>
      </c>
      <c r="D90" s="3" t="s">
        <v>184</v>
      </c>
      <c r="E90" t="s">
        <v>28</v>
      </c>
    </row>
    <row r="91" spans="1:5" x14ac:dyDescent="0.25">
      <c r="A91">
        <v>9003</v>
      </c>
      <c r="B91" t="s">
        <v>32</v>
      </c>
      <c r="C91">
        <v>540</v>
      </c>
      <c r="D91" s="3" t="s">
        <v>183</v>
      </c>
      <c r="E91" t="s">
        <v>28</v>
      </c>
    </row>
    <row r="92" spans="1:5" x14ac:dyDescent="0.25">
      <c r="A92">
        <v>9003</v>
      </c>
      <c r="B92" t="s">
        <v>32</v>
      </c>
      <c r="C92">
        <v>2736</v>
      </c>
      <c r="D92" s="3" t="s">
        <v>182</v>
      </c>
      <c r="E92" t="s">
        <v>28</v>
      </c>
    </row>
    <row r="93" spans="1:5" x14ac:dyDescent="0.25">
      <c r="A93">
        <v>9004</v>
      </c>
      <c r="B93" t="s">
        <v>33</v>
      </c>
      <c r="C93">
        <v>1620</v>
      </c>
      <c r="D93" s="3" t="s">
        <v>183</v>
      </c>
      <c r="E93" t="s">
        <v>28</v>
      </c>
    </row>
    <row r="94" spans="1:5" x14ac:dyDescent="0.25">
      <c r="A94">
        <v>9011</v>
      </c>
      <c r="B94" t="s">
        <v>78</v>
      </c>
      <c r="C94">
        <v>1008</v>
      </c>
      <c r="D94" s="3" t="s">
        <v>183</v>
      </c>
      <c r="E94" t="s">
        <v>28</v>
      </c>
    </row>
    <row r="95" spans="1:5" x14ac:dyDescent="0.25">
      <c r="A95">
        <v>9014</v>
      </c>
      <c r="B95" t="s">
        <v>185</v>
      </c>
      <c r="C95">
        <v>1836</v>
      </c>
      <c r="D95" s="3" t="s">
        <v>183</v>
      </c>
      <c r="E95" t="s">
        <v>28</v>
      </c>
    </row>
    <row r="96" spans="1:5" x14ac:dyDescent="0.25">
      <c r="A96">
        <v>9036</v>
      </c>
      <c r="B96" t="s">
        <v>120</v>
      </c>
      <c r="C96">
        <v>112</v>
      </c>
      <c r="D96" s="3" t="s">
        <v>181</v>
      </c>
      <c r="E96" t="s">
        <v>15</v>
      </c>
    </row>
    <row r="97" spans="1:5" x14ac:dyDescent="0.25">
      <c r="A97">
        <v>9053</v>
      </c>
      <c r="B97" t="s">
        <v>44</v>
      </c>
      <c r="C97">
        <v>730</v>
      </c>
      <c r="D97" s="3" t="s">
        <v>183</v>
      </c>
      <c r="E97" t="s">
        <v>45</v>
      </c>
    </row>
    <row r="98" spans="1:5" x14ac:dyDescent="0.25">
      <c r="A98">
        <v>9053</v>
      </c>
      <c r="B98" t="s">
        <v>44</v>
      </c>
      <c r="C98">
        <v>1510</v>
      </c>
      <c r="D98" s="3" t="s">
        <v>184</v>
      </c>
      <c r="E98" t="s">
        <v>45</v>
      </c>
    </row>
    <row r="99" spans="1:5" x14ac:dyDescent="0.25">
      <c r="A99">
        <v>9053</v>
      </c>
      <c r="B99" t="s">
        <v>44</v>
      </c>
      <c r="C99">
        <v>790</v>
      </c>
      <c r="D99" s="3" t="s">
        <v>181</v>
      </c>
      <c r="E99" t="s">
        <v>45</v>
      </c>
    </row>
    <row r="100" spans="1:5" x14ac:dyDescent="0.25">
      <c r="A100">
        <v>9188</v>
      </c>
      <c r="B100" t="s">
        <v>48</v>
      </c>
      <c r="C100">
        <v>3210</v>
      </c>
      <c r="D100" s="3" t="s">
        <v>186</v>
      </c>
      <c r="E100" t="s">
        <v>15</v>
      </c>
    </row>
    <row r="101" spans="1:5" x14ac:dyDescent="0.25">
      <c r="A101">
        <v>9188</v>
      </c>
      <c r="B101" t="s">
        <v>48</v>
      </c>
      <c r="C101">
        <v>530</v>
      </c>
      <c r="D101" s="3" t="s">
        <v>183</v>
      </c>
      <c r="E101" t="s">
        <v>15</v>
      </c>
    </row>
    <row r="102" spans="1:5" x14ac:dyDescent="0.25">
      <c r="A102">
        <v>9188</v>
      </c>
      <c r="B102" t="s">
        <v>48</v>
      </c>
      <c r="C102">
        <v>520</v>
      </c>
      <c r="D102" s="3" t="s">
        <v>181</v>
      </c>
      <c r="E102" t="s">
        <v>15</v>
      </c>
    </row>
    <row r="103" spans="1:5" x14ac:dyDescent="0.25">
      <c r="A103">
        <v>9213</v>
      </c>
      <c r="B103" t="s">
        <v>84</v>
      </c>
      <c r="C103">
        <v>1254</v>
      </c>
      <c r="D103" s="3" t="s">
        <v>181</v>
      </c>
      <c r="E103" t="s">
        <v>15</v>
      </c>
    </row>
    <row r="104" spans="1:5" x14ac:dyDescent="0.25">
      <c r="A104">
        <v>9213</v>
      </c>
      <c r="B104" t="s">
        <v>84</v>
      </c>
      <c r="C104">
        <v>6336</v>
      </c>
      <c r="D104" s="3" t="s">
        <v>182</v>
      </c>
      <c r="E104" t="s">
        <v>15</v>
      </c>
    </row>
    <row r="105" spans="1:5" x14ac:dyDescent="0.25">
      <c r="A105">
        <v>2283</v>
      </c>
      <c r="B105" t="s">
        <v>152</v>
      </c>
      <c r="C105">
        <v>1384</v>
      </c>
      <c r="D105" s="3" t="s">
        <v>187</v>
      </c>
      <c r="E105" t="s">
        <v>7</v>
      </c>
    </row>
    <row r="106" spans="1:5" x14ac:dyDescent="0.25">
      <c r="A106">
        <v>2289</v>
      </c>
      <c r="B106" t="s">
        <v>159</v>
      </c>
      <c r="C106">
        <v>896</v>
      </c>
      <c r="D106" s="3" t="s">
        <v>188</v>
      </c>
      <c r="E106" t="s">
        <v>7</v>
      </c>
    </row>
    <row r="107" spans="1:5" x14ac:dyDescent="0.25">
      <c r="A107">
        <v>2543</v>
      </c>
      <c r="B107" t="s">
        <v>161</v>
      </c>
      <c r="C107">
        <v>504</v>
      </c>
      <c r="D107" s="3" t="s">
        <v>187</v>
      </c>
      <c r="E107" t="s">
        <v>7</v>
      </c>
    </row>
    <row r="108" spans="1:5" x14ac:dyDescent="0.25">
      <c r="A108">
        <v>2553</v>
      </c>
      <c r="B108" t="s">
        <v>162</v>
      </c>
      <c r="C108">
        <v>1260</v>
      </c>
      <c r="D108" s="3" t="s">
        <v>189</v>
      </c>
      <c r="E108" t="s">
        <v>7</v>
      </c>
    </row>
    <row r="109" spans="1:5" x14ac:dyDescent="0.25">
      <c r="A109">
        <v>2553</v>
      </c>
      <c r="B109" t="s">
        <v>162</v>
      </c>
      <c r="C109">
        <v>810</v>
      </c>
      <c r="D109" s="3" t="s">
        <v>190</v>
      </c>
      <c r="E109" t="s">
        <v>7</v>
      </c>
    </row>
    <row r="110" spans="1:5" x14ac:dyDescent="0.25">
      <c r="A110">
        <v>9001</v>
      </c>
      <c r="B110" t="s">
        <v>29</v>
      </c>
      <c r="C110">
        <v>6912</v>
      </c>
      <c r="D110" s="3" t="s">
        <v>189</v>
      </c>
      <c r="E110" t="s">
        <v>28</v>
      </c>
    </row>
    <row r="111" spans="1:5" x14ac:dyDescent="0.25">
      <c r="A111">
        <v>9001</v>
      </c>
      <c r="B111" t="s">
        <v>29</v>
      </c>
      <c r="C111">
        <v>6768</v>
      </c>
      <c r="D111" s="3" t="s">
        <v>190</v>
      </c>
      <c r="E111" t="s">
        <v>28</v>
      </c>
    </row>
    <row r="112" spans="1:5" x14ac:dyDescent="0.25">
      <c r="A112">
        <v>9003</v>
      </c>
      <c r="B112" t="s">
        <v>32</v>
      </c>
      <c r="C112">
        <v>4608</v>
      </c>
      <c r="D112" s="3" t="s">
        <v>191</v>
      </c>
      <c r="E112" t="s">
        <v>28</v>
      </c>
    </row>
    <row r="113" spans="1:5" x14ac:dyDescent="0.25">
      <c r="A113">
        <v>9003</v>
      </c>
      <c r="B113" t="s">
        <v>32</v>
      </c>
      <c r="C113">
        <v>3708</v>
      </c>
      <c r="D113" s="3" t="s">
        <v>189</v>
      </c>
      <c r="E113" t="s">
        <v>28</v>
      </c>
    </row>
    <row r="114" spans="1:5" x14ac:dyDescent="0.25">
      <c r="A114">
        <v>9003</v>
      </c>
      <c r="B114" t="s">
        <v>32</v>
      </c>
      <c r="C114">
        <v>2304</v>
      </c>
      <c r="D114" s="3" t="s">
        <v>190</v>
      </c>
      <c r="E114" t="s">
        <v>28</v>
      </c>
    </row>
    <row r="115" spans="1:5" x14ac:dyDescent="0.25">
      <c r="A115">
        <v>9004</v>
      </c>
      <c r="B115" t="s">
        <v>33</v>
      </c>
      <c r="C115">
        <v>576</v>
      </c>
      <c r="D115" s="3" t="s">
        <v>189</v>
      </c>
      <c r="E115" t="s">
        <v>28</v>
      </c>
    </row>
    <row r="116" spans="1:5" x14ac:dyDescent="0.25">
      <c r="A116">
        <v>9005</v>
      </c>
      <c r="B116" t="s">
        <v>34</v>
      </c>
      <c r="C116">
        <v>792</v>
      </c>
      <c r="D116" s="3" t="s">
        <v>191</v>
      </c>
      <c r="E116" t="s">
        <v>28</v>
      </c>
    </row>
    <row r="117" spans="1:5" x14ac:dyDescent="0.25">
      <c r="A117">
        <v>9011</v>
      </c>
      <c r="B117" t="s">
        <v>78</v>
      </c>
      <c r="C117">
        <v>2088</v>
      </c>
      <c r="D117" s="3" t="s">
        <v>191</v>
      </c>
      <c r="E117" t="s">
        <v>28</v>
      </c>
    </row>
    <row r="118" spans="1:5" x14ac:dyDescent="0.25">
      <c r="A118">
        <v>9013</v>
      </c>
      <c r="B118" t="s">
        <v>35</v>
      </c>
      <c r="C118">
        <v>2592</v>
      </c>
      <c r="D118" s="3" t="s">
        <v>191</v>
      </c>
      <c r="E118" t="s">
        <v>28</v>
      </c>
    </row>
    <row r="119" spans="1:5" x14ac:dyDescent="0.25">
      <c r="A119">
        <v>9019</v>
      </c>
      <c r="B119" t="s">
        <v>37</v>
      </c>
      <c r="C119">
        <v>864</v>
      </c>
      <c r="D119" s="3" t="s">
        <v>189</v>
      </c>
      <c r="E119" t="s">
        <v>28</v>
      </c>
    </row>
    <row r="120" spans="1:5" x14ac:dyDescent="0.25">
      <c r="A120">
        <v>9019</v>
      </c>
      <c r="B120" t="s">
        <v>37</v>
      </c>
      <c r="C120">
        <v>720</v>
      </c>
      <c r="D120" s="3" t="s">
        <v>190</v>
      </c>
      <c r="E120" t="s">
        <v>28</v>
      </c>
    </row>
    <row r="121" spans="1:5" x14ac:dyDescent="0.25">
      <c r="A121">
        <v>9023</v>
      </c>
      <c r="B121" t="s">
        <v>192</v>
      </c>
      <c r="C121">
        <v>2835</v>
      </c>
      <c r="D121" s="3" t="s">
        <v>191</v>
      </c>
      <c r="E121" t="s">
        <v>28</v>
      </c>
    </row>
    <row r="122" spans="1:5" x14ac:dyDescent="0.25">
      <c r="A122">
        <v>9025</v>
      </c>
      <c r="B122" t="s">
        <v>40</v>
      </c>
      <c r="C122">
        <v>252</v>
      </c>
      <c r="D122" s="3" t="s">
        <v>189</v>
      </c>
      <c r="E122" t="s">
        <v>28</v>
      </c>
    </row>
    <row r="123" spans="1:5" x14ac:dyDescent="0.25">
      <c r="A123">
        <v>9029</v>
      </c>
      <c r="B123" t="s">
        <v>41</v>
      </c>
      <c r="C123">
        <v>1620</v>
      </c>
      <c r="D123" s="3" t="s">
        <v>191</v>
      </c>
      <c r="E123" t="s">
        <v>28</v>
      </c>
    </row>
    <row r="124" spans="1:5" x14ac:dyDescent="0.25">
      <c r="A124">
        <v>9029</v>
      </c>
      <c r="B124" t="s">
        <v>41</v>
      </c>
      <c r="C124">
        <v>756</v>
      </c>
      <c r="D124" s="3" t="s">
        <v>190</v>
      </c>
      <c r="E124" t="s">
        <v>28</v>
      </c>
    </row>
    <row r="125" spans="1:5" x14ac:dyDescent="0.25">
      <c r="A125">
        <v>9031</v>
      </c>
      <c r="B125" t="s">
        <v>42</v>
      </c>
      <c r="C125">
        <v>2352</v>
      </c>
      <c r="D125" s="3" t="s">
        <v>187</v>
      </c>
      <c r="E125" t="s">
        <v>43</v>
      </c>
    </row>
    <row r="126" spans="1:5" x14ac:dyDescent="0.25">
      <c r="A126">
        <v>9034</v>
      </c>
      <c r="B126" t="s">
        <v>82</v>
      </c>
      <c r="C126">
        <v>3165</v>
      </c>
      <c r="D126" s="3" t="s">
        <v>191</v>
      </c>
      <c r="E126" t="s">
        <v>15</v>
      </c>
    </row>
    <row r="127" spans="1:5" x14ac:dyDescent="0.25">
      <c r="A127">
        <v>9034</v>
      </c>
      <c r="B127" t="s">
        <v>82</v>
      </c>
      <c r="C127">
        <v>2595</v>
      </c>
      <c r="D127" s="3" t="s">
        <v>187</v>
      </c>
      <c r="E127" t="s">
        <v>15</v>
      </c>
    </row>
    <row r="128" spans="1:5" x14ac:dyDescent="0.25">
      <c r="A128">
        <v>9034</v>
      </c>
      <c r="B128" t="s">
        <v>82</v>
      </c>
      <c r="C128">
        <v>3600</v>
      </c>
      <c r="D128" s="3" t="s">
        <v>188</v>
      </c>
      <c r="E128" t="s">
        <v>15</v>
      </c>
    </row>
    <row r="129" spans="1:5" x14ac:dyDescent="0.25">
      <c r="A129">
        <v>9041</v>
      </c>
      <c r="B129" t="s">
        <v>173</v>
      </c>
      <c r="C129">
        <v>576</v>
      </c>
      <c r="D129" s="3" t="s">
        <v>187</v>
      </c>
      <c r="E129" t="s">
        <v>174</v>
      </c>
    </row>
    <row r="130" spans="1:5" x14ac:dyDescent="0.25">
      <c r="A130">
        <v>9042</v>
      </c>
      <c r="B130" t="s">
        <v>175</v>
      </c>
      <c r="C130">
        <v>564</v>
      </c>
      <c r="D130" s="3" t="s">
        <v>188</v>
      </c>
      <c r="E130" t="s">
        <v>174</v>
      </c>
    </row>
    <row r="131" spans="1:5" x14ac:dyDescent="0.25">
      <c r="A131">
        <v>9053</v>
      </c>
      <c r="B131" t="s">
        <v>44</v>
      </c>
      <c r="C131">
        <v>1050</v>
      </c>
      <c r="D131" s="3" t="s">
        <v>190</v>
      </c>
      <c r="E131" t="s">
        <v>45</v>
      </c>
    </row>
    <row r="132" spans="1:5" x14ac:dyDescent="0.25">
      <c r="A132">
        <v>9055</v>
      </c>
      <c r="B132" t="s">
        <v>177</v>
      </c>
      <c r="C132">
        <v>468</v>
      </c>
      <c r="D132" s="3" t="s">
        <v>188</v>
      </c>
      <c r="E132" t="s">
        <v>174</v>
      </c>
    </row>
    <row r="133" spans="1:5" x14ac:dyDescent="0.25">
      <c r="A133">
        <v>9064</v>
      </c>
      <c r="B133" t="s">
        <v>46</v>
      </c>
      <c r="C133">
        <v>420</v>
      </c>
      <c r="D133" s="3" t="s">
        <v>191</v>
      </c>
      <c r="E133" t="s">
        <v>45</v>
      </c>
    </row>
    <row r="134" spans="1:5" x14ac:dyDescent="0.25">
      <c r="A134">
        <v>9064</v>
      </c>
      <c r="B134" t="s">
        <v>46</v>
      </c>
      <c r="C134">
        <v>1680</v>
      </c>
      <c r="D134" s="3" t="s">
        <v>189</v>
      </c>
      <c r="E134" t="s">
        <v>45</v>
      </c>
    </row>
    <row r="135" spans="1:5" x14ac:dyDescent="0.25">
      <c r="A135">
        <v>9188</v>
      </c>
      <c r="B135" t="s">
        <v>48</v>
      </c>
      <c r="C135">
        <v>440</v>
      </c>
      <c r="D135" s="3" t="s">
        <v>189</v>
      </c>
      <c r="E135" t="s">
        <v>15</v>
      </c>
    </row>
    <row r="136" spans="1:5" x14ac:dyDescent="0.25">
      <c r="A136">
        <v>9202</v>
      </c>
      <c r="B136" t="s">
        <v>193</v>
      </c>
      <c r="C136">
        <v>320</v>
      </c>
      <c r="D136" s="3" t="s">
        <v>190</v>
      </c>
      <c r="E136" t="s">
        <v>45</v>
      </c>
    </row>
    <row r="137" spans="1:5" x14ac:dyDescent="0.25">
      <c r="A137">
        <v>9229</v>
      </c>
      <c r="B137" t="s">
        <v>194</v>
      </c>
      <c r="C137">
        <v>48</v>
      </c>
      <c r="D137" s="3" t="s">
        <v>189</v>
      </c>
      <c r="E137" t="s">
        <v>28</v>
      </c>
    </row>
    <row r="138" spans="1:5" x14ac:dyDescent="0.25">
      <c r="A138">
        <v>2283</v>
      </c>
      <c r="B138" t="s">
        <v>152</v>
      </c>
      <c r="C138">
        <v>776</v>
      </c>
      <c r="D138" s="3" t="s">
        <v>195</v>
      </c>
      <c r="E138" t="s">
        <v>7</v>
      </c>
    </row>
    <row r="139" spans="1:5" x14ac:dyDescent="0.25">
      <c r="A139">
        <v>2289</v>
      </c>
      <c r="B139" t="s">
        <v>159</v>
      </c>
      <c r="C139">
        <v>616</v>
      </c>
      <c r="D139" s="3" t="s">
        <v>196</v>
      </c>
      <c r="E139" t="s">
        <v>7</v>
      </c>
    </row>
    <row r="140" spans="1:5" x14ac:dyDescent="0.25">
      <c r="A140">
        <v>2289</v>
      </c>
      <c r="B140" t="s">
        <v>159</v>
      </c>
      <c r="C140">
        <v>312</v>
      </c>
      <c r="D140" s="3" t="s">
        <v>197</v>
      </c>
      <c r="E140" t="s">
        <v>7</v>
      </c>
    </row>
    <row r="141" spans="1:5" x14ac:dyDescent="0.25">
      <c r="A141">
        <v>2289</v>
      </c>
      <c r="B141" t="s">
        <v>159</v>
      </c>
      <c r="C141">
        <v>480</v>
      </c>
      <c r="D141" s="3" t="s">
        <v>195</v>
      </c>
      <c r="E141" t="s">
        <v>7</v>
      </c>
    </row>
    <row r="142" spans="1:5" x14ac:dyDescent="0.25">
      <c r="A142">
        <v>2553</v>
      </c>
      <c r="B142" t="s">
        <v>162</v>
      </c>
      <c r="C142">
        <v>1650</v>
      </c>
      <c r="D142" s="3" t="s">
        <v>197</v>
      </c>
      <c r="E142" t="s">
        <v>7</v>
      </c>
    </row>
    <row r="143" spans="1:5" x14ac:dyDescent="0.25">
      <c r="A143">
        <v>2738</v>
      </c>
      <c r="B143" t="s">
        <v>16</v>
      </c>
      <c r="C143">
        <v>3240</v>
      </c>
      <c r="D143" s="3" t="s">
        <v>196</v>
      </c>
      <c r="E143" t="s">
        <v>15</v>
      </c>
    </row>
    <row r="144" spans="1:5" x14ac:dyDescent="0.25">
      <c r="A144">
        <v>9000</v>
      </c>
      <c r="B144" t="s">
        <v>27</v>
      </c>
      <c r="C144">
        <v>432</v>
      </c>
      <c r="D144" s="3" t="s">
        <v>195</v>
      </c>
      <c r="E144" t="s">
        <v>28</v>
      </c>
    </row>
    <row r="145" spans="1:5" x14ac:dyDescent="0.25">
      <c r="A145">
        <v>9001</v>
      </c>
      <c r="B145" t="s">
        <v>29</v>
      </c>
      <c r="C145">
        <v>2160</v>
      </c>
      <c r="D145" s="3" t="s">
        <v>198</v>
      </c>
      <c r="E145" t="s">
        <v>28</v>
      </c>
    </row>
    <row r="146" spans="1:5" x14ac:dyDescent="0.25">
      <c r="A146">
        <v>9001</v>
      </c>
      <c r="B146" t="s">
        <v>29</v>
      </c>
      <c r="C146">
        <v>2412</v>
      </c>
      <c r="D146" s="3" t="s">
        <v>195</v>
      </c>
      <c r="E146" t="s">
        <v>28</v>
      </c>
    </row>
    <row r="147" spans="1:5" x14ac:dyDescent="0.25">
      <c r="A147">
        <v>9011</v>
      </c>
      <c r="B147" t="s">
        <v>78</v>
      </c>
      <c r="C147">
        <v>936</v>
      </c>
      <c r="D147" s="3" t="s">
        <v>195</v>
      </c>
      <c r="E147" t="s">
        <v>28</v>
      </c>
    </row>
    <row r="148" spans="1:5" x14ac:dyDescent="0.25">
      <c r="A148">
        <v>9013</v>
      </c>
      <c r="B148" t="s">
        <v>35</v>
      </c>
      <c r="C148">
        <v>288</v>
      </c>
      <c r="D148" s="3" t="s">
        <v>195</v>
      </c>
      <c r="E148" t="s">
        <v>28</v>
      </c>
    </row>
    <row r="149" spans="1:5" x14ac:dyDescent="0.25">
      <c r="A149">
        <v>9019</v>
      </c>
      <c r="B149" t="s">
        <v>37</v>
      </c>
      <c r="C149">
        <v>2880</v>
      </c>
      <c r="D149" s="3" t="s">
        <v>198</v>
      </c>
      <c r="E149" t="s">
        <v>28</v>
      </c>
    </row>
    <row r="150" spans="1:5" x14ac:dyDescent="0.25">
      <c r="A150">
        <v>9019</v>
      </c>
      <c r="B150" t="s">
        <v>37</v>
      </c>
      <c r="C150">
        <v>5400</v>
      </c>
      <c r="D150" s="3" t="s">
        <v>195</v>
      </c>
      <c r="E150" t="s">
        <v>28</v>
      </c>
    </row>
    <row r="151" spans="1:5" x14ac:dyDescent="0.25">
      <c r="A151">
        <v>9025</v>
      </c>
      <c r="B151" t="s">
        <v>40</v>
      </c>
      <c r="C151">
        <v>1440</v>
      </c>
      <c r="D151" s="3" t="s">
        <v>195</v>
      </c>
      <c r="E151" t="s">
        <v>28</v>
      </c>
    </row>
    <row r="152" spans="1:5" x14ac:dyDescent="0.25">
      <c r="A152">
        <v>9026</v>
      </c>
      <c r="B152" t="s">
        <v>80</v>
      </c>
      <c r="C152">
        <v>2232</v>
      </c>
      <c r="D152" s="3" t="s">
        <v>195</v>
      </c>
      <c r="E152" t="s">
        <v>28</v>
      </c>
    </row>
    <row r="153" spans="1:5" x14ac:dyDescent="0.25">
      <c r="A153">
        <v>9034</v>
      </c>
      <c r="B153" t="s">
        <v>82</v>
      </c>
      <c r="C153">
        <v>480</v>
      </c>
      <c r="D153" s="3" t="s">
        <v>198</v>
      </c>
      <c r="E153" t="s">
        <v>15</v>
      </c>
    </row>
    <row r="154" spans="1:5" x14ac:dyDescent="0.25">
      <c r="A154">
        <v>9034</v>
      </c>
      <c r="B154" t="s">
        <v>82</v>
      </c>
      <c r="C154">
        <v>3870</v>
      </c>
      <c r="D154" s="3" t="s">
        <v>199</v>
      </c>
      <c r="E154" t="s">
        <v>15</v>
      </c>
    </row>
    <row r="155" spans="1:5" x14ac:dyDescent="0.25">
      <c r="A155">
        <v>9036</v>
      </c>
      <c r="B155" t="s">
        <v>120</v>
      </c>
      <c r="C155">
        <v>576</v>
      </c>
      <c r="D155" s="3" t="s">
        <v>199</v>
      </c>
      <c r="E155" t="s">
        <v>15</v>
      </c>
    </row>
    <row r="156" spans="1:5" x14ac:dyDescent="0.25">
      <c r="A156">
        <v>9053</v>
      </c>
      <c r="B156" t="s">
        <v>44</v>
      </c>
      <c r="C156">
        <v>320</v>
      </c>
      <c r="D156" s="3" t="s">
        <v>198</v>
      </c>
      <c r="E156" t="s">
        <v>45</v>
      </c>
    </row>
    <row r="157" spans="1:5" x14ac:dyDescent="0.25">
      <c r="A157">
        <v>9188</v>
      </c>
      <c r="B157" t="s">
        <v>48</v>
      </c>
      <c r="C157">
        <v>880</v>
      </c>
      <c r="D157" s="3" t="s">
        <v>198</v>
      </c>
      <c r="E157" t="s">
        <v>15</v>
      </c>
    </row>
    <row r="158" spans="1:5" x14ac:dyDescent="0.25">
      <c r="A158">
        <v>9188</v>
      </c>
      <c r="B158" t="s">
        <v>48</v>
      </c>
      <c r="C158">
        <v>1280</v>
      </c>
      <c r="D158" s="3" t="s">
        <v>195</v>
      </c>
      <c r="E158" t="s">
        <v>15</v>
      </c>
    </row>
    <row r="159" spans="1:5" x14ac:dyDescent="0.25">
      <c r="A159">
        <v>9201</v>
      </c>
      <c r="B159" t="s">
        <v>50</v>
      </c>
      <c r="C159">
        <v>1600</v>
      </c>
      <c r="D159" s="3" t="s">
        <v>196</v>
      </c>
      <c r="E159" t="s">
        <v>15</v>
      </c>
    </row>
    <row r="160" spans="1:5" x14ac:dyDescent="0.25">
      <c r="A160">
        <v>9201</v>
      </c>
      <c r="B160" t="s">
        <v>50</v>
      </c>
      <c r="C160">
        <v>4800</v>
      </c>
      <c r="D160" s="3" t="s">
        <v>197</v>
      </c>
      <c r="E160" t="s">
        <v>15</v>
      </c>
    </row>
    <row r="161" spans="1:5" x14ac:dyDescent="0.25">
      <c r="A161">
        <v>9202</v>
      </c>
      <c r="B161" t="s">
        <v>193</v>
      </c>
      <c r="C161">
        <v>640</v>
      </c>
      <c r="D161" s="3" t="s">
        <v>198</v>
      </c>
      <c r="E161" t="s">
        <v>45</v>
      </c>
    </row>
    <row r="162" spans="1:5" x14ac:dyDescent="0.25">
      <c r="A162">
        <v>9229</v>
      </c>
      <c r="B162" t="s">
        <v>194</v>
      </c>
      <c r="C162">
        <v>66</v>
      </c>
      <c r="D162" s="3" t="s">
        <v>199</v>
      </c>
      <c r="E162" t="s">
        <v>28</v>
      </c>
    </row>
    <row r="163" spans="1:5" x14ac:dyDescent="0.25">
      <c r="A163">
        <v>2283</v>
      </c>
      <c r="B163" t="s">
        <v>152</v>
      </c>
      <c r="C163">
        <v>1576</v>
      </c>
      <c r="D163" s="3" t="s">
        <v>200</v>
      </c>
      <c r="E163" t="s">
        <v>7</v>
      </c>
    </row>
    <row r="164" spans="1:5" x14ac:dyDescent="0.25">
      <c r="A164">
        <v>2285</v>
      </c>
      <c r="B164" t="s">
        <v>157</v>
      </c>
      <c r="C164">
        <v>384</v>
      </c>
      <c r="D164" s="3" t="s">
        <v>200</v>
      </c>
      <c r="E164" t="s">
        <v>7</v>
      </c>
    </row>
    <row r="165" spans="1:5" x14ac:dyDescent="0.25">
      <c r="A165">
        <v>2289</v>
      </c>
      <c r="B165" t="s">
        <v>159</v>
      </c>
      <c r="C165">
        <v>600</v>
      </c>
      <c r="D165" s="3" t="s">
        <v>201</v>
      </c>
      <c r="E165" t="s">
        <v>7</v>
      </c>
    </row>
    <row r="166" spans="1:5" x14ac:dyDescent="0.25">
      <c r="A166">
        <v>2736</v>
      </c>
      <c r="B166" t="s">
        <v>62</v>
      </c>
      <c r="C166">
        <v>7164</v>
      </c>
      <c r="D166" s="3" t="s">
        <v>202</v>
      </c>
      <c r="E166" t="s">
        <v>15</v>
      </c>
    </row>
    <row r="167" spans="1:5" x14ac:dyDescent="0.25">
      <c r="A167">
        <v>9001</v>
      </c>
      <c r="B167" t="s">
        <v>29</v>
      </c>
      <c r="C167">
        <v>5040</v>
      </c>
      <c r="D167" s="3" t="s">
        <v>203</v>
      </c>
      <c r="E167" t="s">
        <v>28</v>
      </c>
    </row>
    <row r="168" spans="1:5" x14ac:dyDescent="0.25">
      <c r="A168">
        <v>9001</v>
      </c>
      <c r="B168" t="s">
        <v>29</v>
      </c>
      <c r="C168">
        <v>5760</v>
      </c>
      <c r="D168" s="3" t="s">
        <v>201</v>
      </c>
      <c r="E168" t="s">
        <v>28</v>
      </c>
    </row>
    <row r="169" spans="1:5" x14ac:dyDescent="0.25">
      <c r="A169">
        <v>9003</v>
      </c>
      <c r="B169" t="s">
        <v>32</v>
      </c>
      <c r="C169">
        <v>5004</v>
      </c>
      <c r="D169" s="3" t="s">
        <v>203</v>
      </c>
      <c r="E169" t="s">
        <v>28</v>
      </c>
    </row>
    <row r="170" spans="1:5" x14ac:dyDescent="0.25">
      <c r="A170">
        <v>9003</v>
      </c>
      <c r="B170" t="s">
        <v>32</v>
      </c>
      <c r="C170">
        <v>1260</v>
      </c>
      <c r="D170" s="3" t="s">
        <v>201</v>
      </c>
      <c r="E170" t="s">
        <v>28</v>
      </c>
    </row>
    <row r="171" spans="1:5" x14ac:dyDescent="0.25">
      <c r="A171">
        <v>9004</v>
      </c>
      <c r="B171" t="s">
        <v>33</v>
      </c>
      <c r="C171">
        <v>612</v>
      </c>
      <c r="D171" s="3" t="s">
        <v>201</v>
      </c>
      <c r="E171" t="s">
        <v>28</v>
      </c>
    </row>
    <row r="172" spans="1:5" x14ac:dyDescent="0.25">
      <c r="A172">
        <v>9011</v>
      </c>
      <c r="B172" t="s">
        <v>78</v>
      </c>
      <c r="C172">
        <v>1008</v>
      </c>
      <c r="D172" s="3" t="s">
        <v>201</v>
      </c>
      <c r="E172" t="s">
        <v>28</v>
      </c>
    </row>
    <row r="173" spans="1:5" x14ac:dyDescent="0.25">
      <c r="A173">
        <v>9013</v>
      </c>
      <c r="B173" t="s">
        <v>35</v>
      </c>
      <c r="C173">
        <v>864</v>
      </c>
      <c r="D173" s="3" t="s">
        <v>201</v>
      </c>
      <c r="E173" t="s">
        <v>28</v>
      </c>
    </row>
    <row r="174" spans="1:5" x14ac:dyDescent="0.25">
      <c r="A174">
        <v>9014</v>
      </c>
      <c r="B174" t="s">
        <v>185</v>
      </c>
      <c r="C174">
        <v>900</v>
      </c>
      <c r="D174" s="3" t="s">
        <v>203</v>
      </c>
      <c r="E174" t="s">
        <v>28</v>
      </c>
    </row>
    <row r="175" spans="1:5" x14ac:dyDescent="0.25">
      <c r="A175">
        <v>9019</v>
      </c>
      <c r="B175" t="s">
        <v>37</v>
      </c>
      <c r="C175">
        <v>864</v>
      </c>
      <c r="D175" s="3" t="s">
        <v>201</v>
      </c>
      <c r="E175" t="s">
        <v>28</v>
      </c>
    </row>
    <row r="176" spans="1:5" x14ac:dyDescent="0.25">
      <c r="A176">
        <v>9025</v>
      </c>
      <c r="B176" t="s">
        <v>40</v>
      </c>
      <c r="C176">
        <v>972</v>
      </c>
      <c r="D176" s="3" t="s">
        <v>203</v>
      </c>
      <c r="E176" t="s">
        <v>28</v>
      </c>
    </row>
    <row r="177" spans="1:5" x14ac:dyDescent="0.25">
      <c r="A177">
        <v>9026</v>
      </c>
      <c r="B177" t="s">
        <v>80</v>
      </c>
      <c r="C177">
        <v>2304</v>
      </c>
      <c r="D177" s="3" t="s">
        <v>201</v>
      </c>
      <c r="E177" t="s">
        <v>28</v>
      </c>
    </row>
    <row r="178" spans="1:5" x14ac:dyDescent="0.25">
      <c r="A178">
        <v>9029</v>
      </c>
      <c r="B178" t="s">
        <v>41</v>
      </c>
      <c r="C178">
        <v>792</v>
      </c>
      <c r="D178" s="3" t="s">
        <v>203</v>
      </c>
      <c r="E178" t="s">
        <v>28</v>
      </c>
    </row>
    <row r="179" spans="1:5" x14ac:dyDescent="0.25">
      <c r="A179">
        <v>9033</v>
      </c>
      <c r="B179" t="s">
        <v>81</v>
      </c>
      <c r="C179">
        <v>230</v>
      </c>
      <c r="D179" s="3" t="s">
        <v>203</v>
      </c>
      <c r="E179" t="s">
        <v>15</v>
      </c>
    </row>
    <row r="180" spans="1:5" x14ac:dyDescent="0.25">
      <c r="A180">
        <v>9034</v>
      </c>
      <c r="B180" t="s">
        <v>82</v>
      </c>
      <c r="C180">
        <v>1740</v>
      </c>
      <c r="D180" s="3" t="s">
        <v>201</v>
      </c>
      <c r="E180" t="s">
        <v>15</v>
      </c>
    </row>
    <row r="181" spans="1:5" x14ac:dyDescent="0.25">
      <c r="A181">
        <v>9034</v>
      </c>
      <c r="B181" t="s">
        <v>82</v>
      </c>
      <c r="C181">
        <v>4740</v>
      </c>
      <c r="D181" s="3" t="s">
        <v>204</v>
      </c>
      <c r="E181" t="s">
        <v>15</v>
      </c>
    </row>
    <row r="182" spans="1:5" x14ac:dyDescent="0.25">
      <c r="A182">
        <v>9036</v>
      </c>
      <c r="B182" t="s">
        <v>120</v>
      </c>
      <c r="C182">
        <v>336</v>
      </c>
      <c r="D182" s="3" t="s">
        <v>203</v>
      </c>
      <c r="E182" t="s">
        <v>15</v>
      </c>
    </row>
    <row r="183" spans="1:5" x14ac:dyDescent="0.25">
      <c r="A183">
        <v>9053</v>
      </c>
      <c r="B183" t="s">
        <v>44</v>
      </c>
      <c r="C183">
        <v>1280</v>
      </c>
      <c r="D183" s="3" t="s">
        <v>203</v>
      </c>
      <c r="E183" t="s">
        <v>45</v>
      </c>
    </row>
    <row r="184" spans="1:5" x14ac:dyDescent="0.25">
      <c r="A184">
        <v>9053</v>
      </c>
      <c r="B184" t="s">
        <v>44</v>
      </c>
      <c r="C184">
        <v>380</v>
      </c>
      <c r="D184" s="3" t="s">
        <v>201</v>
      </c>
      <c r="E184" t="s">
        <v>45</v>
      </c>
    </row>
    <row r="185" spans="1:5" x14ac:dyDescent="0.25">
      <c r="A185">
        <v>9188</v>
      </c>
      <c r="B185" t="s">
        <v>48</v>
      </c>
      <c r="C185">
        <v>810</v>
      </c>
      <c r="D185" s="3" t="s">
        <v>204</v>
      </c>
      <c r="E185" t="s">
        <v>15</v>
      </c>
    </row>
    <row r="186" spans="1:5" x14ac:dyDescent="0.25">
      <c r="A186">
        <v>9188</v>
      </c>
      <c r="B186" t="s">
        <v>48</v>
      </c>
      <c r="C186">
        <v>1280</v>
      </c>
      <c r="D186" s="3" t="s">
        <v>200</v>
      </c>
      <c r="E186" t="s">
        <v>15</v>
      </c>
    </row>
    <row r="187" spans="1:5" x14ac:dyDescent="0.25">
      <c r="A187">
        <v>9201</v>
      </c>
      <c r="B187" t="s">
        <v>50</v>
      </c>
      <c r="C187">
        <v>800</v>
      </c>
      <c r="D187" s="3" t="s">
        <v>200</v>
      </c>
      <c r="E187" t="s">
        <v>15</v>
      </c>
    </row>
    <row r="188" spans="1:5" x14ac:dyDescent="0.25">
      <c r="A188">
        <v>9211</v>
      </c>
      <c r="B188" t="s">
        <v>51</v>
      </c>
      <c r="C188">
        <v>1560</v>
      </c>
      <c r="D188" s="3" t="s">
        <v>204</v>
      </c>
      <c r="E188" t="s">
        <v>28</v>
      </c>
    </row>
    <row r="189" spans="1:5" x14ac:dyDescent="0.25">
      <c r="A189">
        <v>2283</v>
      </c>
      <c r="B189" t="s">
        <v>152</v>
      </c>
      <c r="C189">
        <v>784</v>
      </c>
      <c r="D189" s="3" t="s">
        <v>205</v>
      </c>
      <c r="E189" t="s">
        <v>7</v>
      </c>
    </row>
    <row r="190" spans="1:5" x14ac:dyDescent="0.25">
      <c r="A190">
        <v>2283</v>
      </c>
      <c r="B190" t="s">
        <v>152</v>
      </c>
      <c r="C190">
        <v>1200</v>
      </c>
      <c r="D190" s="3" t="s">
        <v>206</v>
      </c>
      <c r="E190" t="s">
        <v>7</v>
      </c>
    </row>
    <row r="191" spans="1:5" x14ac:dyDescent="0.25">
      <c r="A191">
        <v>2283</v>
      </c>
      <c r="B191" t="s">
        <v>152</v>
      </c>
      <c r="C191">
        <v>696</v>
      </c>
      <c r="D191" s="3" t="s">
        <v>207</v>
      </c>
      <c r="E191" t="s">
        <v>7</v>
      </c>
    </row>
    <row r="192" spans="1:5" x14ac:dyDescent="0.25">
      <c r="A192">
        <v>2283</v>
      </c>
      <c r="B192" t="s">
        <v>152</v>
      </c>
      <c r="C192">
        <v>624</v>
      </c>
      <c r="D192" s="3" t="s">
        <v>208</v>
      </c>
      <c r="E192" t="s">
        <v>7</v>
      </c>
    </row>
    <row r="193" spans="1:5" x14ac:dyDescent="0.25">
      <c r="A193">
        <v>2283</v>
      </c>
      <c r="B193" t="s">
        <v>152</v>
      </c>
      <c r="C193">
        <v>1656</v>
      </c>
      <c r="D193" s="3" t="s">
        <v>209</v>
      </c>
      <c r="E193" t="s">
        <v>7</v>
      </c>
    </row>
    <row r="194" spans="1:5" x14ac:dyDescent="0.25">
      <c r="A194">
        <v>2285</v>
      </c>
      <c r="B194" t="s">
        <v>157</v>
      </c>
      <c r="C194">
        <v>376</v>
      </c>
      <c r="D194" s="3" t="s">
        <v>207</v>
      </c>
      <c r="E194" t="s">
        <v>7</v>
      </c>
    </row>
    <row r="195" spans="1:5" x14ac:dyDescent="0.25">
      <c r="A195">
        <v>2289</v>
      </c>
      <c r="B195" t="s">
        <v>159</v>
      </c>
      <c r="C195">
        <v>1312</v>
      </c>
      <c r="D195" s="3" t="s">
        <v>210</v>
      </c>
      <c r="E195" t="s">
        <v>7</v>
      </c>
    </row>
    <row r="196" spans="1:5" x14ac:dyDescent="0.25">
      <c r="A196">
        <v>2289</v>
      </c>
      <c r="B196" t="s">
        <v>159</v>
      </c>
      <c r="C196">
        <v>824</v>
      </c>
      <c r="D196" s="3" t="s">
        <v>205</v>
      </c>
      <c r="E196" t="s">
        <v>7</v>
      </c>
    </row>
    <row r="197" spans="1:5" x14ac:dyDescent="0.25">
      <c r="A197">
        <v>2289</v>
      </c>
      <c r="B197" t="s">
        <v>159</v>
      </c>
      <c r="C197">
        <v>960</v>
      </c>
      <c r="D197" s="3" t="s">
        <v>206</v>
      </c>
      <c r="E197" t="s">
        <v>7</v>
      </c>
    </row>
    <row r="198" spans="1:5" x14ac:dyDescent="0.25">
      <c r="A198">
        <v>2289</v>
      </c>
      <c r="B198" t="s">
        <v>159</v>
      </c>
      <c r="C198">
        <v>608</v>
      </c>
      <c r="D198" s="3" t="s">
        <v>207</v>
      </c>
      <c r="E198" t="s">
        <v>7</v>
      </c>
    </row>
    <row r="199" spans="1:5" x14ac:dyDescent="0.25">
      <c r="A199">
        <v>2289</v>
      </c>
      <c r="B199" t="s">
        <v>159</v>
      </c>
      <c r="C199">
        <v>576</v>
      </c>
      <c r="D199" s="3" t="s">
        <v>209</v>
      </c>
      <c r="E199" t="s">
        <v>7</v>
      </c>
    </row>
    <row r="200" spans="1:5" x14ac:dyDescent="0.25">
      <c r="A200">
        <v>2289</v>
      </c>
      <c r="B200" t="s">
        <v>159</v>
      </c>
      <c r="C200">
        <v>536</v>
      </c>
      <c r="D200" s="3" t="s">
        <v>211</v>
      </c>
      <c r="E200" t="s">
        <v>7</v>
      </c>
    </row>
    <row r="201" spans="1:5" x14ac:dyDescent="0.25">
      <c r="A201">
        <v>2289</v>
      </c>
      <c r="B201" t="s">
        <v>159</v>
      </c>
      <c r="C201">
        <v>536</v>
      </c>
      <c r="D201" s="3" t="s">
        <v>212</v>
      </c>
      <c r="E201" t="s">
        <v>7</v>
      </c>
    </row>
    <row r="202" spans="1:5" x14ac:dyDescent="0.25">
      <c r="A202">
        <v>2290</v>
      </c>
      <c r="B202" t="s">
        <v>160</v>
      </c>
      <c r="C202">
        <v>592</v>
      </c>
      <c r="D202" s="3" t="s">
        <v>209</v>
      </c>
      <c r="E202" t="s">
        <v>7</v>
      </c>
    </row>
    <row r="203" spans="1:5" x14ac:dyDescent="0.25">
      <c r="A203">
        <v>2543</v>
      </c>
      <c r="B203" t="s">
        <v>161</v>
      </c>
      <c r="C203">
        <v>824</v>
      </c>
      <c r="D203" s="3" t="s">
        <v>205</v>
      </c>
      <c r="E203" t="s">
        <v>7</v>
      </c>
    </row>
    <row r="204" spans="1:5" x14ac:dyDescent="0.25">
      <c r="A204">
        <v>2543</v>
      </c>
      <c r="B204" t="s">
        <v>161</v>
      </c>
      <c r="C204">
        <v>480</v>
      </c>
      <c r="D204" s="3" t="s">
        <v>212</v>
      </c>
      <c r="E204" t="s">
        <v>7</v>
      </c>
    </row>
    <row r="205" spans="1:5" x14ac:dyDescent="0.25">
      <c r="A205">
        <v>2553</v>
      </c>
      <c r="B205" t="s">
        <v>162</v>
      </c>
      <c r="C205">
        <v>870</v>
      </c>
      <c r="D205" s="3" t="s">
        <v>213</v>
      </c>
      <c r="E205" t="s">
        <v>7</v>
      </c>
    </row>
    <row r="206" spans="1:5" x14ac:dyDescent="0.25">
      <c r="A206">
        <v>2553</v>
      </c>
      <c r="B206" t="s">
        <v>162</v>
      </c>
      <c r="C206">
        <v>1500</v>
      </c>
      <c r="D206" s="3" t="s">
        <v>211</v>
      </c>
      <c r="E206" t="s">
        <v>7</v>
      </c>
    </row>
    <row r="207" spans="1:5" x14ac:dyDescent="0.25">
      <c r="A207">
        <v>2735</v>
      </c>
      <c r="B207" t="s">
        <v>13</v>
      </c>
      <c r="C207">
        <v>800</v>
      </c>
      <c r="D207" s="3" t="s">
        <v>214</v>
      </c>
      <c r="E207" t="s">
        <v>15</v>
      </c>
    </row>
    <row r="208" spans="1:5" x14ac:dyDescent="0.25">
      <c r="A208">
        <v>2736</v>
      </c>
      <c r="B208" t="s">
        <v>62</v>
      </c>
      <c r="C208">
        <v>7224</v>
      </c>
      <c r="D208" s="3" t="s">
        <v>210</v>
      </c>
      <c r="E208" t="s">
        <v>15</v>
      </c>
    </row>
    <row r="209" spans="1:5" x14ac:dyDescent="0.25">
      <c r="A209">
        <v>2736</v>
      </c>
      <c r="B209" t="s">
        <v>62</v>
      </c>
      <c r="C209">
        <v>2568</v>
      </c>
      <c r="D209" s="3" t="s">
        <v>215</v>
      </c>
      <c r="E209" t="s">
        <v>15</v>
      </c>
    </row>
    <row r="210" spans="1:5" x14ac:dyDescent="0.25">
      <c r="A210">
        <v>2737</v>
      </c>
      <c r="B210" t="s">
        <v>134</v>
      </c>
      <c r="C210">
        <v>900</v>
      </c>
      <c r="D210" s="3" t="s">
        <v>214</v>
      </c>
      <c r="E210" t="s">
        <v>15</v>
      </c>
    </row>
    <row r="211" spans="1:5" x14ac:dyDescent="0.25">
      <c r="A211">
        <v>2738</v>
      </c>
      <c r="B211" t="s">
        <v>16</v>
      </c>
      <c r="C211">
        <v>4320</v>
      </c>
      <c r="D211" s="3" t="s">
        <v>216</v>
      </c>
      <c r="E211" t="s">
        <v>15</v>
      </c>
    </row>
    <row r="212" spans="1:5" x14ac:dyDescent="0.25">
      <c r="A212">
        <v>2738</v>
      </c>
      <c r="B212" t="s">
        <v>16</v>
      </c>
      <c r="C212">
        <v>2160</v>
      </c>
      <c r="D212" s="3" t="s">
        <v>217</v>
      </c>
      <c r="E212" t="s">
        <v>15</v>
      </c>
    </row>
    <row r="213" spans="1:5" x14ac:dyDescent="0.25">
      <c r="A213">
        <v>2738</v>
      </c>
      <c r="B213" t="s">
        <v>16</v>
      </c>
      <c r="C213">
        <v>2520</v>
      </c>
      <c r="D213" s="3" t="s">
        <v>205</v>
      </c>
      <c r="E213" t="s">
        <v>15</v>
      </c>
    </row>
    <row r="214" spans="1:5" x14ac:dyDescent="0.25">
      <c r="A214">
        <v>2738</v>
      </c>
      <c r="B214" t="s">
        <v>16</v>
      </c>
      <c r="C214">
        <v>448</v>
      </c>
      <c r="D214" s="3" t="s">
        <v>205</v>
      </c>
      <c r="E214" t="s">
        <v>15</v>
      </c>
    </row>
    <row r="215" spans="1:5" x14ac:dyDescent="0.25">
      <c r="A215">
        <v>2738</v>
      </c>
      <c r="B215" t="s">
        <v>16</v>
      </c>
      <c r="C215">
        <v>5025</v>
      </c>
      <c r="D215" s="3" t="s">
        <v>218</v>
      </c>
      <c r="E215" t="s">
        <v>15</v>
      </c>
    </row>
    <row r="216" spans="1:5" x14ac:dyDescent="0.25">
      <c r="A216">
        <v>2738</v>
      </c>
      <c r="B216" t="s">
        <v>16</v>
      </c>
      <c r="C216">
        <v>5760</v>
      </c>
      <c r="D216" s="3" t="s">
        <v>219</v>
      </c>
      <c r="E216" t="s">
        <v>15</v>
      </c>
    </row>
    <row r="217" spans="1:5" x14ac:dyDescent="0.25">
      <c r="A217">
        <v>2738</v>
      </c>
      <c r="B217" t="s">
        <v>16</v>
      </c>
      <c r="C217">
        <v>720</v>
      </c>
      <c r="D217" s="3" t="s">
        <v>209</v>
      </c>
      <c r="E217" t="s">
        <v>15</v>
      </c>
    </row>
    <row r="218" spans="1:5" x14ac:dyDescent="0.25">
      <c r="A218">
        <v>2738</v>
      </c>
      <c r="B218" t="s">
        <v>16</v>
      </c>
      <c r="C218">
        <v>1755</v>
      </c>
      <c r="D218" s="3" t="s">
        <v>220</v>
      </c>
      <c r="E218" t="s">
        <v>15</v>
      </c>
    </row>
    <row r="219" spans="1:5" x14ac:dyDescent="0.25">
      <c r="A219">
        <v>2738</v>
      </c>
      <c r="B219" t="s">
        <v>16</v>
      </c>
      <c r="C219">
        <v>828</v>
      </c>
      <c r="D219" s="3" t="s">
        <v>221</v>
      </c>
      <c r="E219" t="s">
        <v>15</v>
      </c>
    </row>
    <row r="220" spans="1:5" x14ac:dyDescent="0.25">
      <c r="A220">
        <v>9000</v>
      </c>
      <c r="B220" t="s">
        <v>27</v>
      </c>
      <c r="C220">
        <v>2160</v>
      </c>
      <c r="D220" s="3" t="s">
        <v>222</v>
      </c>
      <c r="E220" t="s">
        <v>28</v>
      </c>
    </row>
    <row r="221" spans="1:5" x14ac:dyDescent="0.25">
      <c r="A221">
        <v>9000</v>
      </c>
      <c r="B221" t="s">
        <v>27</v>
      </c>
      <c r="C221">
        <v>9396</v>
      </c>
      <c r="D221" s="3" t="s">
        <v>223</v>
      </c>
      <c r="E221" t="s">
        <v>28</v>
      </c>
    </row>
    <row r="222" spans="1:5" x14ac:dyDescent="0.25">
      <c r="A222">
        <v>9000</v>
      </c>
      <c r="B222" t="s">
        <v>27</v>
      </c>
      <c r="C222">
        <v>9045</v>
      </c>
      <c r="D222" s="3" t="s">
        <v>215</v>
      </c>
      <c r="E222" t="s">
        <v>28</v>
      </c>
    </row>
    <row r="223" spans="1:5" x14ac:dyDescent="0.25">
      <c r="A223">
        <v>9000</v>
      </c>
      <c r="B223" t="s">
        <v>27</v>
      </c>
      <c r="C223">
        <v>4887</v>
      </c>
      <c r="D223" s="3" t="s">
        <v>224</v>
      </c>
      <c r="E223" t="s">
        <v>28</v>
      </c>
    </row>
    <row r="224" spans="1:5" x14ac:dyDescent="0.25">
      <c r="A224">
        <v>9000</v>
      </c>
      <c r="B224" t="s">
        <v>27</v>
      </c>
      <c r="C224">
        <v>5616</v>
      </c>
      <c r="D224" s="3" t="s">
        <v>213</v>
      </c>
      <c r="E224" t="s">
        <v>28</v>
      </c>
    </row>
    <row r="225" spans="1:5" x14ac:dyDescent="0.25">
      <c r="A225">
        <v>9000</v>
      </c>
      <c r="B225" t="s">
        <v>27</v>
      </c>
      <c r="C225">
        <v>3888</v>
      </c>
      <c r="D225" s="3" t="s">
        <v>225</v>
      </c>
      <c r="E225" t="s">
        <v>28</v>
      </c>
    </row>
    <row r="226" spans="1:5" x14ac:dyDescent="0.25">
      <c r="A226">
        <v>9000</v>
      </c>
      <c r="B226" t="s">
        <v>27</v>
      </c>
      <c r="C226">
        <v>1944</v>
      </c>
      <c r="D226" s="3" t="s">
        <v>208</v>
      </c>
      <c r="E226" t="s">
        <v>28</v>
      </c>
    </row>
    <row r="227" spans="1:5" x14ac:dyDescent="0.25">
      <c r="A227">
        <v>9000</v>
      </c>
      <c r="B227" t="s">
        <v>27</v>
      </c>
      <c r="C227">
        <v>2160</v>
      </c>
      <c r="D227" s="3" t="s">
        <v>226</v>
      </c>
      <c r="E227" t="s">
        <v>28</v>
      </c>
    </row>
    <row r="228" spans="1:5" x14ac:dyDescent="0.25">
      <c r="A228">
        <v>9000</v>
      </c>
      <c r="B228" t="s">
        <v>27</v>
      </c>
      <c r="C228">
        <v>1728</v>
      </c>
      <c r="D228" s="3" t="s">
        <v>221</v>
      </c>
      <c r="E228" t="s">
        <v>28</v>
      </c>
    </row>
    <row r="229" spans="1:5" x14ac:dyDescent="0.25">
      <c r="A229">
        <v>9001</v>
      </c>
      <c r="B229" t="s">
        <v>29</v>
      </c>
      <c r="C229">
        <v>4932</v>
      </c>
      <c r="D229" s="3" t="s">
        <v>222</v>
      </c>
      <c r="E229" t="s">
        <v>28</v>
      </c>
    </row>
    <row r="230" spans="1:5" x14ac:dyDescent="0.25">
      <c r="A230">
        <v>9001</v>
      </c>
      <c r="B230" t="s">
        <v>29</v>
      </c>
      <c r="C230">
        <v>360</v>
      </c>
      <c r="D230" s="3" t="s">
        <v>215</v>
      </c>
      <c r="E230" t="s">
        <v>28</v>
      </c>
    </row>
    <row r="231" spans="1:5" x14ac:dyDescent="0.25">
      <c r="A231">
        <v>9001</v>
      </c>
      <c r="B231" t="s">
        <v>29</v>
      </c>
      <c r="C231">
        <v>3168</v>
      </c>
      <c r="D231" s="3" t="s">
        <v>224</v>
      </c>
      <c r="E231" t="s">
        <v>28</v>
      </c>
    </row>
    <row r="232" spans="1:5" x14ac:dyDescent="0.25">
      <c r="A232">
        <v>9001</v>
      </c>
      <c r="B232" t="s">
        <v>29</v>
      </c>
      <c r="C232">
        <v>1944</v>
      </c>
      <c r="D232" s="3" t="s">
        <v>213</v>
      </c>
      <c r="E232" t="s">
        <v>28</v>
      </c>
    </row>
    <row r="233" spans="1:5" x14ac:dyDescent="0.25">
      <c r="A233">
        <v>9001</v>
      </c>
      <c r="B233" t="s">
        <v>29</v>
      </c>
      <c r="C233">
        <v>5292</v>
      </c>
      <c r="D233" s="3" t="s">
        <v>214</v>
      </c>
      <c r="E233" t="s">
        <v>28</v>
      </c>
    </row>
    <row r="234" spans="1:5" x14ac:dyDescent="0.25">
      <c r="A234">
        <v>9001</v>
      </c>
      <c r="B234" t="s">
        <v>29</v>
      </c>
      <c r="C234">
        <v>3636</v>
      </c>
      <c r="D234" s="3" t="s">
        <v>225</v>
      </c>
      <c r="E234" t="s">
        <v>28</v>
      </c>
    </row>
    <row r="235" spans="1:5" x14ac:dyDescent="0.25">
      <c r="A235">
        <v>9001</v>
      </c>
      <c r="B235" t="s">
        <v>29</v>
      </c>
      <c r="C235">
        <v>2340</v>
      </c>
      <c r="D235" s="3" t="s">
        <v>207</v>
      </c>
      <c r="E235" t="s">
        <v>28</v>
      </c>
    </row>
    <row r="236" spans="1:5" x14ac:dyDescent="0.25">
      <c r="A236">
        <v>9001</v>
      </c>
      <c r="B236" t="s">
        <v>29</v>
      </c>
      <c r="C236">
        <v>3384</v>
      </c>
      <c r="D236" s="3" t="s">
        <v>226</v>
      </c>
      <c r="E236" t="s">
        <v>28</v>
      </c>
    </row>
    <row r="237" spans="1:5" x14ac:dyDescent="0.25">
      <c r="A237">
        <v>9001</v>
      </c>
      <c r="B237" t="s">
        <v>29</v>
      </c>
      <c r="C237">
        <v>3780</v>
      </c>
      <c r="D237" s="3" t="s">
        <v>227</v>
      </c>
      <c r="E237" t="s">
        <v>28</v>
      </c>
    </row>
    <row r="238" spans="1:5" x14ac:dyDescent="0.25">
      <c r="A238">
        <v>9001</v>
      </c>
      <c r="B238" t="s">
        <v>29</v>
      </c>
      <c r="C238">
        <v>1764</v>
      </c>
      <c r="D238" s="3" t="s">
        <v>228</v>
      </c>
      <c r="E238" t="s">
        <v>28</v>
      </c>
    </row>
    <row r="239" spans="1:5" x14ac:dyDescent="0.25">
      <c r="A239">
        <v>9001</v>
      </c>
      <c r="B239" t="s">
        <v>29</v>
      </c>
      <c r="C239">
        <v>576</v>
      </c>
      <c r="D239" s="3" t="s">
        <v>221</v>
      </c>
      <c r="E239" t="s">
        <v>28</v>
      </c>
    </row>
    <row r="240" spans="1:5" x14ac:dyDescent="0.25">
      <c r="A240">
        <v>9001</v>
      </c>
      <c r="B240" t="s">
        <v>29</v>
      </c>
      <c r="C240">
        <v>4500</v>
      </c>
      <c r="D240" s="3" t="s">
        <v>229</v>
      </c>
      <c r="E240" t="s">
        <v>28</v>
      </c>
    </row>
    <row r="241" spans="1:5" x14ac:dyDescent="0.25">
      <c r="A241">
        <v>9002</v>
      </c>
      <c r="B241" t="s">
        <v>170</v>
      </c>
      <c r="C241">
        <v>1122</v>
      </c>
      <c r="D241" s="3" t="s">
        <v>213</v>
      </c>
      <c r="E241" t="s">
        <v>28</v>
      </c>
    </row>
    <row r="242" spans="1:5" x14ac:dyDescent="0.25">
      <c r="A242">
        <v>9002</v>
      </c>
      <c r="B242" t="s">
        <v>170</v>
      </c>
      <c r="C242">
        <v>462</v>
      </c>
      <c r="D242" s="3" t="s">
        <v>214</v>
      </c>
      <c r="E242" t="s">
        <v>28</v>
      </c>
    </row>
    <row r="243" spans="1:5" x14ac:dyDescent="0.25">
      <c r="A243">
        <v>9002</v>
      </c>
      <c r="B243" t="s">
        <v>170</v>
      </c>
      <c r="C243">
        <v>528</v>
      </c>
      <c r="D243" s="3" t="s">
        <v>207</v>
      </c>
      <c r="E243" t="s">
        <v>28</v>
      </c>
    </row>
    <row r="244" spans="1:5" x14ac:dyDescent="0.25">
      <c r="A244">
        <v>9002</v>
      </c>
      <c r="B244" t="s">
        <v>170</v>
      </c>
      <c r="C244">
        <v>2112</v>
      </c>
      <c r="D244" s="3" t="s">
        <v>228</v>
      </c>
      <c r="E244" t="s">
        <v>28</v>
      </c>
    </row>
    <row r="245" spans="1:5" x14ac:dyDescent="0.25">
      <c r="A245">
        <v>9003</v>
      </c>
      <c r="B245" t="s">
        <v>32</v>
      </c>
      <c r="C245">
        <v>2304</v>
      </c>
      <c r="D245" s="3" t="s">
        <v>223</v>
      </c>
      <c r="E245" t="s">
        <v>28</v>
      </c>
    </row>
    <row r="246" spans="1:5" x14ac:dyDescent="0.25">
      <c r="A246">
        <v>9003</v>
      </c>
      <c r="B246" t="s">
        <v>32</v>
      </c>
      <c r="C246">
        <v>2880</v>
      </c>
      <c r="D246" s="3" t="s">
        <v>224</v>
      </c>
      <c r="E246" t="s">
        <v>28</v>
      </c>
    </row>
    <row r="247" spans="1:5" x14ac:dyDescent="0.25">
      <c r="A247">
        <v>9003</v>
      </c>
      <c r="B247" t="s">
        <v>32</v>
      </c>
      <c r="C247">
        <v>1368</v>
      </c>
      <c r="D247" s="3" t="s">
        <v>213</v>
      </c>
      <c r="E247" t="s">
        <v>28</v>
      </c>
    </row>
    <row r="248" spans="1:5" x14ac:dyDescent="0.25">
      <c r="A248">
        <v>9003</v>
      </c>
      <c r="B248" t="s">
        <v>32</v>
      </c>
      <c r="C248">
        <v>4032</v>
      </c>
      <c r="D248" s="3" t="s">
        <v>214</v>
      </c>
      <c r="E248" t="s">
        <v>28</v>
      </c>
    </row>
    <row r="249" spans="1:5" x14ac:dyDescent="0.25">
      <c r="A249">
        <v>9003</v>
      </c>
      <c r="B249" t="s">
        <v>32</v>
      </c>
      <c r="C249">
        <v>2556</v>
      </c>
      <c r="D249" s="3" t="s">
        <v>225</v>
      </c>
      <c r="E249" t="s">
        <v>28</v>
      </c>
    </row>
    <row r="250" spans="1:5" x14ac:dyDescent="0.25">
      <c r="A250">
        <v>9003</v>
      </c>
      <c r="B250" t="s">
        <v>32</v>
      </c>
      <c r="C250">
        <v>6408</v>
      </c>
      <c r="D250" s="3" t="s">
        <v>207</v>
      </c>
      <c r="E250" t="s">
        <v>28</v>
      </c>
    </row>
    <row r="251" spans="1:5" x14ac:dyDescent="0.25">
      <c r="A251">
        <v>9003</v>
      </c>
      <c r="B251" t="s">
        <v>32</v>
      </c>
      <c r="C251">
        <v>2808</v>
      </c>
      <c r="D251" s="3" t="s">
        <v>208</v>
      </c>
      <c r="E251" t="s">
        <v>28</v>
      </c>
    </row>
    <row r="252" spans="1:5" x14ac:dyDescent="0.25">
      <c r="A252">
        <v>9003</v>
      </c>
      <c r="B252" t="s">
        <v>32</v>
      </c>
      <c r="C252">
        <v>792</v>
      </c>
      <c r="D252" s="3" t="s">
        <v>226</v>
      </c>
      <c r="E252" t="s">
        <v>28</v>
      </c>
    </row>
    <row r="253" spans="1:5" x14ac:dyDescent="0.25">
      <c r="A253">
        <v>9003</v>
      </c>
      <c r="B253" t="s">
        <v>32</v>
      </c>
      <c r="C253">
        <v>5148</v>
      </c>
      <c r="D253" s="3" t="s">
        <v>227</v>
      </c>
      <c r="E253" t="s">
        <v>28</v>
      </c>
    </row>
    <row r="254" spans="1:5" x14ac:dyDescent="0.25">
      <c r="A254">
        <v>9003</v>
      </c>
      <c r="B254" t="s">
        <v>32</v>
      </c>
      <c r="C254">
        <v>648</v>
      </c>
      <c r="D254" s="3" t="s">
        <v>220</v>
      </c>
      <c r="E254" t="s">
        <v>28</v>
      </c>
    </row>
    <row r="255" spans="1:5" x14ac:dyDescent="0.25">
      <c r="A255">
        <v>9003</v>
      </c>
      <c r="B255" t="s">
        <v>32</v>
      </c>
      <c r="C255">
        <v>2880</v>
      </c>
      <c r="D255" s="3" t="s">
        <v>228</v>
      </c>
      <c r="E255" t="s">
        <v>28</v>
      </c>
    </row>
    <row r="256" spans="1:5" x14ac:dyDescent="0.25">
      <c r="A256">
        <v>9003</v>
      </c>
      <c r="B256" t="s">
        <v>32</v>
      </c>
      <c r="C256">
        <v>8532</v>
      </c>
      <c r="D256" s="3" t="s">
        <v>212</v>
      </c>
      <c r="E256" t="s">
        <v>28</v>
      </c>
    </row>
    <row r="257" spans="1:5" x14ac:dyDescent="0.25">
      <c r="A257">
        <v>9003</v>
      </c>
      <c r="B257" t="s">
        <v>32</v>
      </c>
      <c r="C257">
        <v>5076</v>
      </c>
      <c r="D257" s="3" t="s">
        <v>229</v>
      </c>
      <c r="E257" t="s">
        <v>28</v>
      </c>
    </row>
    <row r="258" spans="1:5" x14ac:dyDescent="0.25">
      <c r="A258">
        <v>9004</v>
      </c>
      <c r="B258" t="s">
        <v>33</v>
      </c>
      <c r="C258">
        <v>2268</v>
      </c>
      <c r="D258" s="3" t="s">
        <v>222</v>
      </c>
      <c r="E258" t="s">
        <v>28</v>
      </c>
    </row>
    <row r="259" spans="1:5" x14ac:dyDescent="0.25">
      <c r="A259">
        <v>9004</v>
      </c>
      <c r="B259" t="s">
        <v>33</v>
      </c>
      <c r="C259">
        <v>792</v>
      </c>
      <c r="D259" s="3" t="s">
        <v>215</v>
      </c>
      <c r="E259" t="s">
        <v>28</v>
      </c>
    </row>
    <row r="260" spans="1:5" x14ac:dyDescent="0.25">
      <c r="A260">
        <v>9004</v>
      </c>
      <c r="B260" t="s">
        <v>33</v>
      </c>
      <c r="C260">
        <v>1404</v>
      </c>
      <c r="D260" s="3" t="s">
        <v>207</v>
      </c>
      <c r="E260" t="s">
        <v>28</v>
      </c>
    </row>
    <row r="261" spans="1:5" x14ac:dyDescent="0.25">
      <c r="A261">
        <v>9004</v>
      </c>
      <c r="B261" t="s">
        <v>33</v>
      </c>
      <c r="C261">
        <v>720</v>
      </c>
      <c r="D261" s="3" t="s">
        <v>208</v>
      </c>
      <c r="E261" t="s">
        <v>28</v>
      </c>
    </row>
    <row r="262" spans="1:5" x14ac:dyDescent="0.25">
      <c r="A262">
        <v>9004</v>
      </c>
      <c r="B262" t="s">
        <v>33</v>
      </c>
      <c r="C262">
        <v>2520</v>
      </c>
      <c r="D262" s="3" t="s">
        <v>227</v>
      </c>
      <c r="E262" t="s">
        <v>28</v>
      </c>
    </row>
    <row r="263" spans="1:5" x14ac:dyDescent="0.25">
      <c r="A263">
        <v>9004</v>
      </c>
      <c r="B263" t="s">
        <v>33</v>
      </c>
      <c r="C263">
        <v>2556</v>
      </c>
      <c r="D263" s="3" t="s">
        <v>220</v>
      </c>
      <c r="E263" t="s">
        <v>28</v>
      </c>
    </row>
    <row r="264" spans="1:5" x14ac:dyDescent="0.25">
      <c r="A264">
        <v>9004</v>
      </c>
      <c r="B264" t="s">
        <v>33</v>
      </c>
      <c r="C264">
        <v>2124</v>
      </c>
      <c r="D264" s="3" t="s">
        <v>221</v>
      </c>
      <c r="E264" t="s">
        <v>28</v>
      </c>
    </row>
    <row r="265" spans="1:5" x14ac:dyDescent="0.25">
      <c r="A265">
        <v>9004</v>
      </c>
      <c r="B265" t="s">
        <v>33</v>
      </c>
      <c r="C265">
        <v>1476</v>
      </c>
      <c r="D265" s="3" t="s">
        <v>212</v>
      </c>
      <c r="E265" t="s">
        <v>28</v>
      </c>
    </row>
    <row r="266" spans="1:5" x14ac:dyDescent="0.25">
      <c r="A266">
        <v>9005</v>
      </c>
      <c r="B266" t="s">
        <v>34</v>
      </c>
      <c r="C266">
        <v>792</v>
      </c>
      <c r="D266" s="3" t="s">
        <v>215</v>
      </c>
      <c r="E266" t="s">
        <v>28</v>
      </c>
    </row>
    <row r="267" spans="1:5" x14ac:dyDescent="0.25">
      <c r="A267">
        <v>9005</v>
      </c>
      <c r="B267" t="s">
        <v>34</v>
      </c>
      <c r="C267">
        <v>864</v>
      </c>
      <c r="D267" s="3" t="s">
        <v>207</v>
      </c>
      <c r="E267" t="s">
        <v>28</v>
      </c>
    </row>
    <row r="268" spans="1:5" x14ac:dyDescent="0.25">
      <c r="A268">
        <v>9005</v>
      </c>
      <c r="B268" t="s">
        <v>34</v>
      </c>
      <c r="C268">
        <v>792</v>
      </c>
      <c r="D268" s="3" t="s">
        <v>221</v>
      </c>
      <c r="E268" t="s">
        <v>28</v>
      </c>
    </row>
    <row r="269" spans="1:5" x14ac:dyDescent="0.25">
      <c r="A269">
        <v>9007</v>
      </c>
      <c r="B269" t="s">
        <v>230</v>
      </c>
      <c r="C269">
        <v>1584</v>
      </c>
      <c r="D269" s="3" t="s">
        <v>221</v>
      </c>
      <c r="E269" t="s">
        <v>28</v>
      </c>
    </row>
    <row r="270" spans="1:5" x14ac:dyDescent="0.25">
      <c r="A270">
        <v>9009</v>
      </c>
      <c r="B270" t="s">
        <v>77</v>
      </c>
      <c r="C270">
        <v>684</v>
      </c>
      <c r="D270" s="3" t="s">
        <v>215</v>
      </c>
      <c r="E270" t="s">
        <v>28</v>
      </c>
    </row>
    <row r="271" spans="1:5" x14ac:dyDescent="0.25">
      <c r="A271">
        <v>9009</v>
      </c>
      <c r="B271" t="s">
        <v>77</v>
      </c>
      <c r="C271">
        <v>1152</v>
      </c>
      <c r="D271" s="3" t="s">
        <v>226</v>
      </c>
      <c r="E271" t="s">
        <v>28</v>
      </c>
    </row>
    <row r="272" spans="1:5" x14ac:dyDescent="0.25">
      <c r="A272">
        <v>9009</v>
      </c>
      <c r="B272" t="s">
        <v>77</v>
      </c>
      <c r="C272">
        <v>900</v>
      </c>
      <c r="D272" s="3" t="s">
        <v>221</v>
      </c>
      <c r="E272" t="s">
        <v>28</v>
      </c>
    </row>
    <row r="273" spans="1:5" x14ac:dyDescent="0.25">
      <c r="A273">
        <v>9011</v>
      </c>
      <c r="B273" t="s">
        <v>78</v>
      </c>
      <c r="C273">
        <v>4932</v>
      </c>
      <c r="D273" s="3" t="s">
        <v>208</v>
      </c>
      <c r="E273" t="s">
        <v>28</v>
      </c>
    </row>
    <row r="274" spans="1:5" x14ac:dyDescent="0.25">
      <c r="A274">
        <v>9011</v>
      </c>
      <c r="B274" t="s">
        <v>78</v>
      </c>
      <c r="C274">
        <v>972</v>
      </c>
      <c r="D274" s="3" t="s">
        <v>226</v>
      </c>
      <c r="E274" t="s">
        <v>28</v>
      </c>
    </row>
    <row r="275" spans="1:5" x14ac:dyDescent="0.25">
      <c r="A275">
        <v>9011</v>
      </c>
      <c r="B275" t="s">
        <v>78</v>
      </c>
      <c r="C275">
        <v>324</v>
      </c>
      <c r="D275" s="3" t="s">
        <v>209</v>
      </c>
      <c r="E275" t="s">
        <v>28</v>
      </c>
    </row>
    <row r="276" spans="1:5" x14ac:dyDescent="0.25">
      <c r="A276">
        <v>9011</v>
      </c>
      <c r="B276" t="s">
        <v>78</v>
      </c>
      <c r="C276">
        <v>1080</v>
      </c>
      <c r="D276" s="3" t="s">
        <v>221</v>
      </c>
      <c r="E276" t="s">
        <v>28</v>
      </c>
    </row>
    <row r="277" spans="1:5" x14ac:dyDescent="0.25">
      <c r="A277">
        <v>9011</v>
      </c>
      <c r="B277" t="s">
        <v>78</v>
      </c>
      <c r="C277">
        <v>1116</v>
      </c>
      <c r="D277" s="3" t="s">
        <v>181</v>
      </c>
      <c r="E277" t="s">
        <v>28</v>
      </c>
    </row>
    <row r="278" spans="1:5" x14ac:dyDescent="0.25">
      <c r="A278">
        <v>9013</v>
      </c>
      <c r="B278" t="s">
        <v>35</v>
      </c>
      <c r="C278">
        <v>720</v>
      </c>
      <c r="D278" s="3" t="s">
        <v>213</v>
      </c>
      <c r="E278" t="s">
        <v>28</v>
      </c>
    </row>
    <row r="279" spans="1:5" x14ac:dyDescent="0.25">
      <c r="A279">
        <v>9013</v>
      </c>
      <c r="B279" t="s">
        <v>35</v>
      </c>
      <c r="C279">
        <v>1152</v>
      </c>
      <c r="D279" s="3" t="s">
        <v>227</v>
      </c>
      <c r="E279" t="s">
        <v>28</v>
      </c>
    </row>
    <row r="280" spans="1:5" x14ac:dyDescent="0.25">
      <c r="A280">
        <v>9013</v>
      </c>
      <c r="B280" t="s">
        <v>35</v>
      </c>
      <c r="C280">
        <v>1764</v>
      </c>
      <c r="D280" s="3" t="s">
        <v>221</v>
      </c>
      <c r="E280" t="s">
        <v>28</v>
      </c>
    </row>
    <row r="281" spans="1:5" x14ac:dyDescent="0.25">
      <c r="A281">
        <v>9014</v>
      </c>
      <c r="B281" t="s">
        <v>185</v>
      </c>
      <c r="C281">
        <v>612</v>
      </c>
      <c r="D281" s="3" t="s">
        <v>223</v>
      </c>
      <c r="E281" t="s">
        <v>28</v>
      </c>
    </row>
    <row r="282" spans="1:5" x14ac:dyDescent="0.25">
      <c r="A282">
        <v>9014</v>
      </c>
      <c r="B282" t="s">
        <v>185</v>
      </c>
      <c r="C282">
        <v>864</v>
      </c>
      <c r="D282" s="3" t="s">
        <v>221</v>
      </c>
      <c r="E282" t="s">
        <v>28</v>
      </c>
    </row>
    <row r="283" spans="1:5" x14ac:dyDescent="0.25">
      <c r="A283">
        <v>9019</v>
      </c>
      <c r="B283" t="s">
        <v>37</v>
      </c>
      <c r="C283">
        <v>2556</v>
      </c>
      <c r="D283" s="3" t="s">
        <v>222</v>
      </c>
      <c r="E283" t="s">
        <v>28</v>
      </c>
    </row>
    <row r="284" spans="1:5" x14ac:dyDescent="0.25">
      <c r="A284">
        <v>9019</v>
      </c>
      <c r="B284" t="s">
        <v>37</v>
      </c>
      <c r="C284">
        <v>900</v>
      </c>
      <c r="D284" s="3" t="s">
        <v>224</v>
      </c>
      <c r="E284" t="s">
        <v>28</v>
      </c>
    </row>
    <row r="285" spans="1:5" x14ac:dyDescent="0.25">
      <c r="A285">
        <v>9019</v>
      </c>
      <c r="B285" t="s">
        <v>37</v>
      </c>
      <c r="C285">
        <v>3096</v>
      </c>
      <c r="D285" s="3" t="s">
        <v>214</v>
      </c>
      <c r="E285" t="s">
        <v>28</v>
      </c>
    </row>
    <row r="286" spans="1:5" x14ac:dyDescent="0.25">
      <c r="A286">
        <v>9019</v>
      </c>
      <c r="B286" t="s">
        <v>37</v>
      </c>
      <c r="C286">
        <v>1872</v>
      </c>
      <c r="D286" s="3" t="s">
        <v>207</v>
      </c>
      <c r="E286" t="s">
        <v>28</v>
      </c>
    </row>
    <row r="287" spans="1:5" x14ac:dyDescent="0.25">
      <c r="A287">
        <v>9019</v>
      </c>
      <c r="B287" t="s">
        <v>37</v>
      </c>
      <c r="C287">
        <v>4896</v>
      </c>
      <c r="D287" s="3" t="s">
        <v>220</v>
      </c>
      <c r="E287" t="s">
        <v>28</v>
      </c>
    </row>
    <row r="288" spans="1:5" x14ac:dyDescent="0.25">
      <c r="A288">
        <v>9019</v>
      </c>
      <c r="B288" t="s">
        <v>37</v>
      </c>
      <c r="C288">
        <v>4932</v>
      </c>
      <c r="D288" s="3" t="s">
        <v>228</v>
      </c>
      <c r="E288" t="s">
        <v>28</v>
      </c>
    </row>
    <row r="289" spans="1:5" x14ac:dyDescent="0.25">
      <c r="A289">
        <v>9019</v>
      </c>
      <c r="B289" t="s">
        <v>37</v>
      </c>
      <c r="C289">
        <v>2736</v>
      </c>
      <c r="D289" s="3" t="s">
        <v>181</v>
      </c>
      <c r="E289" t="s">
        <v>28</v>
      </c>
    </row>
    <row r="290" spans="1:5" x14ac:dyDescent="0.25">
      <c r="A290">
        <v>9019</v>
      </c>
      <c r="B290" t="s">
        <v>37</v>
      </c>
      <c r="C290">
        <v>2700</v>
      </c>
      <c r="D290" s="3" t="s">
        <v>229</v>
      </c>
      <c r="E290" t="s">
        <v>28</v>
      </c>
    </row>
    <row r="291" spans="1:5" x14ac:dyDescent="0.25">
      <c r="A291">
        <v>9021</v>
      </c>
      <c r="B291" t="s">
        <v>38</v>
      </c>
      <c r="C291">
        <v>3204</v>
      </c>
      <c r="D291" s="3" t="s">
        <v>220</v>
      </c>
      <c r="E291" t="s">
        <v>28</v>
      </c>
    </row>
    <row r="292" spans="1:5" x14ac:dyDescent="0.25">
      <c r="A292">
        <v>9023</v>
      </c>
      <c r="B292" t="s">
        <v>192</v>
      </c>
      <c r="C292">
        <v>360</v>
      </c>
      <c r="D292" s="3" t="s">
        <v>209</v>
      </c>
      <c r="E292" t="s">
        <v>28</v>
      </c>
    </row>
    <row r="293" spans="1:5" x14ac:dyDescent="0.25">
      <c r="A293">
        <v>9024</v>
      </c>
      <c r="B293" t="s">
        <v>146</v>
      </c>
      <c r="C293">
        <v>3240</v>
      </c>
      <c r="D293" s="3" t="s">
        <v>220</v>
      </c>
      <c r="E293" t="s">
        <v>28</v>
      </c>
    </row>
    <row r="294" spans="1:5" x14ac:dyDescent="0.25">
      <c r="A294">
        <v>9025</v>
      </c>
      <c r="B294" t="s">
        <v>40</v>
      </c>
      <c r="C294">
        <v>216</v>
      </c>
      <c r="D294" s="3" t="s">
        <v>215</v>
      </c>
      <c r="E294" t="s">
        <v>28</v>
      </c>
    </row>
    <row r="295" spans="1:5" x14ac:dyDescent="0.25">
      <c r="A295">
        <v>9026</v>
      </c>
      <c r="B295" t="s">
        <v>80</v>
      </c>
      <c r="C295">
        <v>2304</v>
      </c>
      <c r="D295" s="3" t="s">
        <v>225</v>
      </c>
      <c r="E295" t="s">
        <v>28</v>
      </c>
    </row>
    <row r="296" spans="1:5" x14ac:dyDescent="0.25">
      <c r="A296">
        <v>9026</v>
      </c>
      <c r="B296" t="s">
        <v>80</v>
      </c>
      <c r="C296">
        <v>2304</v>
      </c>
      <c r="D296" s="3" t="s">
        <v>208</v>
      </c>
      <c r="E296" t="s">
        <v>28</v>
      </c>
    </row>
    <row r="297" spans="1:5" x14ac:dyDescent="0.25">
      <c r="A297">
        <v>9026</v>
      </c>
      <c r="B297" t="s">
        <v>80</v>
      </c>
      <c r="C297">
        <v>2304</v>
      </c>
      <c r="D297" s="3" t="s">
        <v>226</v>
      </c>
      <c r="E297" t="s">
        <v>28</v>
      </c>
    </row>
    <row r="298" spans="1:5" x14ac:dyDescent="0.25">
      <c r="A298">
        <v>9029</v>
      </c>
      <c r="B298" t="s">
        <v>41</v>
      </c>
      <c r="C298">
        <v>648</v>
      </c>
      <c r="D298" s="3" t="s">
        <v>222</v>
      </c>
      <c r="E298" t="s">
        <v>28</v>
      </c>
    </row>
    <row r="299" spans="1:5" x14ac:dyDescent="0.25">
      <c r="A299">
        <v>9029</v>
      </c>
      <c r="B299" t="s">
        <v>41</v>
      </c>
      <c r="C299">
        <v>1044</v>
      </c>
      <c r="D299" s="3" t="s">
        <v>226</v>
      </c>
      <c r="E299" t="s">
        <v>28</v>
      </c>
    </row>
    <row r="300" spans="1:5" x14ac:dyDescent="0.25">
      <c r="A300">
        <v>9029</v>
      </c>
      <c r="B300" t="s">
        <v>41</v>
      </c>
      <c r="C300">
        <v>720</v>
      </c>
      <c r="D300" s="3" t="s">
        <v>227</v>
      </c>
      <c r="E300" t="s">
        <v>28</v>
      </c>
    </row>
    <row r="301" spans="1:5" x14ac:dyDescent="0.25">
      <c r="A301">
        <v>9029</v>
      </c>
      <c r="B301" t="s">
        <v>41</v>
      </c>
      <c r="C301">
        <v>792</v>
      </c>
      <c r="D301" s="3" t="s">
        <v>229</v>
      </c>
      <c r="E301" t="s">
        <v>28</v>
      </c>
    </row>
    <row r="302" spans="1:5" x14ac:dyDescent="0.25">
      <c r="A302">
        <v>9031</v>
      </c>
      <c r="B302" t="s">
        <v>42</v>
      </c>
      <c r="C302">
        <v>4800</v>
      </c>
      <c r="D302" s="3" t="s">
        <v>205</v>
      </c>
      <c r="E302" t="s">
        <v>43</v>
      </c>
    </row>
    <row r="303" spans="1:5" x14ac:dyDescent="0.25">
      <c r="A303">
        <v>9031</v>
      </c>
      <c r="B303" t="s">
        <v>42</v>
      </c>
      <c r="C303">
        <v>4872</v>
      </c>
      <c r="D303" s="3" t="s">
        <v>211</v>
      </c>
      <c r="E303" t="s">
        <v>43</v>
      </c>
    </row>
    <row r="304" spans="1:5" x14ac:dyDescent="0.25">
      <c r="A304">
        <v>9033</v>
      </c>
      <c r="B304" t="s">
        <v>81</v>
      </c>
      <c r="C304">
        <v>290</v>
      </c>
      <c r="D304" s="3" t="s">
        <v>213</v>
      </c>
      <c r="E304" t="s">
        <v>15</v>
      </c>
    </row>
    <row r="305" spans="1:5" x14ac:dyDescent="0.25">
      <c r="A305">
        <v>9033</v>
      </c>
      <c r="B305" t="s">
        <v>81</v>
      </c>
      <c r="C305">
        <v>420</v>
      </c>
      <c r="D305" s="3" t="s">
        <v>214</v>
      </c>
      <c r="E305" t="s">
        <v>15</v>
      </c>
    </row>
    <row r="306" spans="1:5" x14ac:dyDescent="0.25">
      <c r="A306">
        <v>9034</v>
      </c>
      <c r="B306" t="s">
        <v>82</v>
      </c>
      <c r="C306">
        <v>720</v>
      </c>
      <c r="D306" s="3" t="s">
        <v>220</v>
      </c>
      <c r="E306" t="s">
        <v>15</v>
      </c>
    </row>
    <row r="307" spans="1:5" x14ac:dyDescent="0.25">
      <c r="A307">
        <v>9034</v>
      </c>
      <c r="B307" t="s">
        <v>82</v>
      </c>
      <c r="C307">
        <v>1905</v>
      </c>
      <c r="D307" s="3" t="s">
        <v>211</v>
      </c>
      <c r="E307" t="s">
        <v>15</v>
      </c>
    </row>
    <row r="308" spans="1:5" x14ac:dyDescent="0.25">
      <c r="A308">
        <v>9041</v>
      </c>
      <c r="B308" t="s">
        <v>173</v>
      </c>
      <c r="C308">
        <v>420</v>
      </c>
      <c r="D308" s="3" t="s">
        <v>209</v>
      </c>
      <c r="E308" t="s">
        <v>174</v>
      </c>
    </row>
    <row r="309" spans="1:5" x14ac:dyDescent="0.25">
      <c r="A309">
        <v>9042</v>
      </c>
      <c r="B309" t="s">
        <v>175</v>
      </c>
      <c r="C309">
        <v>864</v>
      </c>
      <c r="D309" s="3" t="s">
        <v>210</v>
      </c>
      <c r="E309" t="s">
        <v>174</v>
      </c>
    </row>
    <row r="310" spans="1:5" x14ac:dyDescent="0.25">
      <c r="A310">
        <v>9044</v>
      </c>
      <c r="B310" t="s">
        <v>231</v>
      </c>
      <c r="C310">
        <v>768</v>
      </c>
      <c r="D310" s="3" t="s">
        <v>206</v>
      </c>
      <c r="E310" t="s">
        <v>174</v>
      </c>
    </row>
    <row r="311" spans="1:5" x14ac:dyDescent="0.25">
      <c r="A311">
        <v>9045</v>
      </c>
      <c r="B311" t="s">
        <v>176</v>
      </c>
      <c r="C311">
        <v>540</v>
      </c>
      <c r="D311" s="3" t="s">
        <v>209</v>
      </c>
      <c r="E311" t="s">
        <v>174</v>
      </c>
    </row>
    <row r="312" spans="1:5" x14ac:dyDescent="0.25">
      <c r="A312">
        <v>9053</v>
      </c>
      <c r="B312" t="s">
        <v>44</v>
      </c>
      <c r="C312">
        <v>3560</v>
      </c>
      <c r="D312" s="3" t="s">
        <v>223</v>
      </c>
      <c r="E312" t="s">
        <v>45</v>
      </c>
    </row>
    <row r="313" spans="1:5" x14ac:dyDescent="0.25">
      <c r="A313">
        <v>9053</v>
      </c>
      <c r="B313" t="s">
        <v>44</v>
      </c>
      <c r="C313">
        <v>1160</v>
      </c>
      <c r="D313" s="3" t="s">
        <v>213</v>
      </c>
      <c r="E313" t="s">
        <v>45</v>
      </c>
    </row>
    <row r="314" spans="1:5" x14ac:dyDescent="0.25">
      <c r="A314">
        <v>9053</v>
      </c>
      <c r="B314" t="s">
        <v>44</v>
      </c>
      <c r="C314">
        <v>1280</v>
      </c>
      <c r="D314" s="3" t="s">
        <v>208</v>
      </c>
      <c r="E314" t="s">
        <v>45</v>
      </c>
    </row>
    <row r="315" spans="1:5" x14ac:dyDescent="0.25">
      <c r="A315">
        <v>9053</v>
      </c>
      <c r="B315" t="s">
        <v>44</v>
      </c>
      <c r="C315">
        <v>740</v>
      </c>
      <c r="D315" s="3" t="s">
        <v>226</v>
      </c>
      <c r="E315" t="s">
        <v>45</v>
      </c>
    </row>
    <row r="316" spans="1:5" x14ac:dyDescent="0.25">
      <c r="A316">
        <v>9053</v>
      </c>
      <c r="B316" t="s">
        <v>44</v>
      </c>
      <c r="C316">
        <v>320</v>
      </c>
      <c r="D316" s="3" t="s">
        <v>209</v>
      </c>
      <c r="E316" t="s">
        <v>45</v>
      </c>
    </row>
    <row r="317" spans="1:5" x14ac:dyDescent="0.25">
      <c r="A317">
        <v>9053</v>
      </c>
      <c r="B317" t="s">
        <v>44</v>
      </c>
      <c r="C317">
        <v>460</v>
      </c>
      <c r="D317" s="3" t="s">
        <v>220</v>
      </c>
      <c r="E317" t="s">
        <v>45</v>
      </c>
    </row>
    <row r="318" spans="1:5" x14ac:dyDescent="0.25">
      <c r="A318">
        <v>9053</v>
      </c>
      <c r="B318" t="s">
        <v>44</v>
      </c>
      <c r="C318">
        <v>1530</v>
      </c>
      <c r="D318" s="3" t="s">
        <v>228</v>
      </c>
      <c r="E318" t="s">
        <v>45</v>
      </c>
    </row>
    <row r="319" spans="1:5" x14ac:dyDescent="0.25">
      <c r="A319">
        <v>9188</v>
      </c>
      <c r="B319" t="s">
        <v>48</v>
      </c>
      <c r="C319">
        <v>640</v>
      </c>
      <c r="D319" s="3" t="s">
        <v>222</v>
      </c>
      <c r="E319" t="s">
        <v>15</v>
      </c>
    </row>
    <row r="320" spans="1:5" x14ac:dyDescent="0.25">
      <c r="A320">
        <v>9188</v>
      </c>
      <c r="B320" t="s">
        <v>48</v>
      </c>
      <c r="C320">
        <v>2820</v>
      </c>
      <c r="D320" s="3" t="s">
        <v>222</v>
      </c>
      <c r="E320" t="s">
        <v>15</v>
      </c>
    </row>
    <row r="321" spans="1:5" x14ac:dyDescent="0.25">
      <c r="A321">
        <v>9188</v>
      </c>
      <c r="B321" t="s">
        <v>48</v>
      </c>
      <c r="C321">
        <v>440</v>
      </c>
      <c r="D321" s="3" t="s">
        <v>215</v>
      </c>
      <c r="E321" t="s">
        <v>15</v>
      </c>
    </row>
    <row r="322" spans="1:5" x14ac:dyDescent="0.25">
      <c r="A322">
        <v>9188</v>
      </c>
      <c r="B322" t="s">
        <v>48</v>
      </c>
      <c r="C322">
        <v>2170</v>
      </c>
      <c r="D322" s="3" t="s">
        <v>224</v>
      </c>
      <c r="E322" t="s">
        <v>15</v>
      </c>
    </row>
    <row r="323" spans="1:5" x14ac:dyDescent="0.25">
      <c r="A323">
        <v>9188</v>
      </c>
      <c r="B323" t="s">
        <v>48</v>
      </c>
      <c r="C323">
        <v>1020</v>
      </c>
      <c r="D323" s="3" t="s">
        <v>214</v>
      </c>
      <c r="E323" t="s">
        <v>15</v>
      </c>
    </row>
    <row r="324" spans="1:5" x14ac:dyDescent="0.25">
      <c r="A324">
        <v>9188</v>
      </c>
      <c r="B324" t="s">
        <v>48</v>
      </c>
      <c r="C324">
        <v>2560</v>
      </c>
      <c r="D324" s="3" t="s">
        <v>225</v>
      </c>
      <c r="E324" t="s">
        <v>15</v>
      </c>
    </row>
    <row r="325" spans="1:5" x14ac:dyDescent="0.25">
      <c r="A325">
        <v>9188</v>
      </c>
      <c r="B325" t="s">
        <v>48</v>
      </c>
      <c r="C325">
        <v>1280</v>
      </c>
      <c r="D325" s="3" t="s">
        <v>207</v>
      </c>
      <c r="E325" t="s">
        <v>15</v>
      </c>
    </row>
    <row r="326" spans="1:5" x14ac:dyDescent="0.25">
      <c r="A326">
        <v>9188</v>
      </c>
      <c r="B326" t="s">
        <v>48</v>
      </c>
      <c r="C326">
        <v>2710</v>
      </c>
      <c r="D326" s="3" t="s">
        <v>209</v>
      </c>
      <c r="E326" t="s">
        <v>15</v>
      </c>
    </row>
    <row r="327" spans="1:5" x14ac:dyDescent="0.25">
      <c r="A327">
        <v>9188</v>
      </c>
      <c r="B327" t="s">
        <v>48</v>
      </c>
      <c r="C327">
        <v>2710</v>
      </c>
      <c r="D327" s="3" t="s">
        <v>227</v>
      </c>
      <c r="E327" t="s">
        <v>15</v>
      </c>
    </row>
    <row r="328" spans="1:5" x14ac:dyDescent="0.25">
      <c r="A328">
        <v>9188</v>
      </c>
      <c r="B328" t="s">
        <v>48</v>
      </c>
      <c r="C328">
        <v>300</v>
      </c>
      <c r="D328" s="3" t="s">
        <v>228</v>
      </c>
      <c r="E328" t="s">
        <v>15</v>
      </c>
    </row>
    <row r="329" spans="1:5" x14ac:dyDescent="0.25">
      <c r="A329">
        <v>9188</v>
      </c>
      <c r="B329" t="s">
        <v>48</v>
      </c>
      <c r="C329">
        <v>520</v>
      </c>
      <c r="D329" s="3" t="s">
        <v>221</v>
      </c>
      <c r="E329" t="s">
        <v>15</v>
      </c>
    </row>
    <row r="330" spans="1:5" x14ac:dyDescent="0.25">
      <c r="A330">
        <v>9188</v>
      </c>
      <c r="B330" t="s">
        <v>48</v>
      </c>
      <c r="C330">
        <v>1120</v>
      </c>
      <c r="D330" s="3" t="s">
        <v>212</v>
      </c>
      <c r="E330" t="s">
        <v>15</v>
      </c>
    </row>
    <row r="331" spans="1:5" x14ac:dyDescent="0.25">
      <c r="A331">
        <v>9188</v>
      </c>
      <c r="B331" t="s">
        <v>48</v>
      </c>
      <c r="C331">
        <v>2120</v>
      </c>
      <c r="D331" s="3" t="s">
        <v>229</v>
      </c>
      <c r="E331" t="s">
        <v>15</v>
      </c>
    </row>
    <row r="332" spans="1:5" x14ac:dyDescent="0.25">
      <c r="A332">
        <v>9201</v>
      </c>
      <c r="B332" t="s">
        <v>50</v>
      </c>
      <c r="C332">
        <v>1200</v>
      </c>
      <c r="D332" s="3" t="s">
        <v>215</v>
      </c>
      <c r="E332" t="s">
        <v>15</v>
      </c>
    </row>
    <row r="333" spans="1:5" x14ac:dyDescent="0.25">
      <c r="A333">
        <v>9201</v>
      </c>
      <c r="B333" t="s">
        <v>50</v>
      </c>
      <c r="C333">
        <v>3000</v>
      </c>
      <c r="D333" s="3" t="s">
        <v>217</v>
      </c>
      <c r="E333" t="s">
        <v>15</v>
      </c>
    </row>
    <row r="334" spans="1:5" x14ac:dyDescent="0.25">
      <c r="A334">
        <v>9201</v>
      </c>
      <c r="B334" t="s">
        <v>50</v>
      </c>
      <c r="C334">
        <v>470</v>
      </c>
      <c r="D334" s="3" t="s">
        <v>226</v>
      </c>
      <c r="E334" t="s">
        <v>15</v>
      </c>
    </row>
    <row r="335" spans="1:5" x14ac:dyDescent="0.25">
      <c r="A335">
        <v>9201</v>
      </c>
      <c r="B335" t="s">
        <v>50</v>
      </c>
      <c r="C335">
        <v>2170</v>
      </c>
      <c r="D335" s="3" t="s">
        <v>221</v>
      </c>
      <c r="E335" t="s">
        <v>15</v>
      </c>
    </row>
    <row r="336" spans="1:5" x14ac:dyDescent="0.25">
      <c r="A336">
        <v>9201</v>
      </c>
      <c r="B336" t="s">
        <v>50</v>
      </c>
      <c r="C336">
        <v>600</v>
      </c>
      <c r="D336" s="3" t="s">
        <v>211</v>
      </c>
      <c r="E336" t="s">
        <v>15</v>
      </c>
    </row>
    <row r="337" spans="1:5" x14ac:dyDescent="0.25">
      <c r="A337">
        <v>9229</v>
      </c>
      <c r="B337" t="s">
        <v>52</v>
      </c>
      <c r="C337">
        <v>84</v>
      </c>
      <c r="D337" s="3" t="s">
        <v>216</v>
      </c>
      <c r="E337" t="s">
        <v>28</v>
      </c>
    </row>
    <row r="338" spans="1:5" x14ac:dyDescent="0.25">
      <c r="A338">
        <v>9229</v>
      </c>
      <c r="B338" t="s">
        <v>52</v>
      </c>
      <c r="C338">
        <v>66</v>
      </c>
      <c r="D338" s="3" t="s">
        <v>217</v>
      </c>
      <c r="E338" t="s">
        <v>28</v>
      </c>
    </row>
    <row r="339" spans="1:5" x14ac:dyDescent="0.25">
      <c r="A339">
        <v>9229</v>
      </c>
      <c r="B339" t="s">
        <v>52</v>
      </c>
      <c r="C339">
        <v>66</v>
      </c>
      <c r="D339" s="3" t="s">
        <v>208</v>
      </c>
      <c r="E339" t="s">
        <v>28</v>
      </c>
    </row>
    <row r="340" spans="1:5" x14ac:dyDescent="0.25">
      <c r="A340">
        <v>9229</v>
      </c>
      <c r="B340" t="s">
        <v>52</v>
      </c>
      <c r="C340">
        <v>72</v>
      </c>
      <c r="D340" s="3" t="s">
        <v>220</v>
      </c>
      <c r="E340" t="s">
        <v>28</v>
      </c>
    </row>
    <row r="341" spans="1:5" x14ac:dyDescent="0.25">
      <c r="A341">
        <v>9237</v>
      </c>
      <c r="B341" t="s">
        <v>53</v>
      </c>
      <c r="C341">
        <v>672</v>
      </c>
      <c r="D341" s="3" t="s">
        <v>224</v>
      </c>
      <c r="E341" t="s">
        <v>15</v>
      </c>
    </row>
    <row r="342" spans="1:5" x14ac:dyDescent="0.25">
      <c r="A342">
        <v>9237</v>
      </c>
      <c r="B342" t="s">
        <v>53</v>
      </c>
      <c r="C342">
        <v>480</v>
      </c>
      <c r="D342" s="3" t="s">
        <v>216</v>
      </c>
      <c r="E342" t="s">
        <v>15</v>
      </c>
    </row>
    <row r="343" spans="1:5" x14ac:dyDescent="0.25">
      <c r="A343">
        <v>2283</v>
      </c>
      <c r="B343" t="s">
        <v>152</v>
      </c>
      <c r="C343">
        <v>3216</v>
      </c>
      <c r="D343" s="3" t="s">
        <v>232</v>
      </c>
      <c r="E343" t="s">
        <v>7</v>
      </c>
    </row>
    <row r="344" spans="1:5" x14ac:dyDescent="0.25">
      <c r="A344">
        <v>2283</v>
      </c>
      <c r="B344" t="s">
        <v>152</v>
      </c>
      <c r="C344">
        <v>824</v>
      </c>
      <c r="D344" s="3" t="s">
        <v>233</v>
      </c>
      <c r="E344" t="s">
        <v>7</v>
      </c>
    </row>
    <row r="345" spans="1:5" x14ac:dyDescent="0.25">
      <c r="A345">
        <v>2283</v>
      </c>
      <c r="B345" t="s">
        <v>152</v>
      </c>
      <c r="C345">
        <v>896</v>
      </c>
      <c r="D345" s="3" t="s">
        <v>234</v>
      </c>
      <c r="E345" t="s">
        <v>7</v>
      </c>
    </row>
    <row r="346" spans="1:5" x14ac:dyDescent="0.25">
      <c r="A346">
        <v>2283</v>
      </c>
      <c r="B346" t="s">
        <v>152</v>
      </c>
      <c r="C346">
        <v>1552</v>
      </c>
      <c r="D346" s="3" t="s">
        <v>235</v>
      </c>
      <c r="E346" t="s">
        <v>7</v>
      </c>
    </row>
    <row r="347" spans="1:5" x14ac:dyDescent="0.25">
      <c r="A347">
        <v>2285</v>
      </c>
      <c r="B347" t="s">
        <v>157</v>
      </c>
      <c r="C347">
        <v>1000</v>
      </c>
      <c r="D347" s="3" t="s">
        <v>236</v>
      </c>
      <c r="E347" t="s">
        <v>7</v>
      </c>
    </row>
    <row r="348" spans="1:5" x14ac:dyDescent="0.25">
      <c r="A348">
        <v>2289</v>
      </c>
      <c r="B348" t="s">
        <v>159</v>
      </c>
      <c r="C348">
        <v>1336</v>
      </c>
      <c r="D348" s="3" t="s">
        <v>233</v>
      </c>
      <c r="E348" t="s">
        <v>7</v>
      </c>
    </row>
    <row r="349" spans="1:5" x14ac:dyDescent="0.25">
      <c r="A349">
        <v>2289</v>
      </c>
      <c r="B349" t="s">
        <v>159</v>
      </c>
      <c r="C349">
        <v>1344</v>
      </c>
      <c r="D349" s="3" t="s">
        <v>234</v>
      </c>
      <c r="E349" t="s">
        <v>7</v>
      </c>
    </row>
    <row r="350" spans="1:5" x14ac:dyDescent="0.25">
      <c r="A350">
        <v>2543</v>
      </c>
      <c r="B350" t="s">
        <v>161</v>
      </c>
      <c r="C350">
        <v>736</v>
      </c>
      <c r="D350" s="3" t="s">
        <v>237</v>
      </c>
      <c r="E350" t="s">
        <v>7</v>
      </c>
    </row>
    <row r="351" spans="1:5" x14ac:dyDescent="0.25">
      <c r="A351">
        <v>2543</v>
      </c>
      <c r="B351" t="s">
        <v>161</v>
      </c>
      <c r="C351">
        <v>1592</v>
      </c>
      <c r="D351" s="3" t="s">
        <v>236</v>
      </c>
      <c r="E351" t="s">
        <v>7</v>
      </c>
    </row>
    <row r="352" spans="1:5" x14ac:dyDescent="0.25">
      <c r="A352">
        <v>2553</v>
      </c>
      <c r="B352" t="s">
        <v>162</v>
      </c>
      <c r="C352">
        <v>900</v>
      </c>
      <c r="D352" s="3" t="s">
        <v>237</v>
      </c>
      <c r="E352" t="s">
        <v>7</v>
      </c>
    </row>
    <row r="353" spans="1:5" x14ac:dyDescent="0.25">
      <c r="A353">
        <v>2553</v>
      </c>
      <c r="B353" t="s">
        <v>162</v>
      </c>
      <c r="C353">
        <v>1590</v>
      </c>
      <c r="D353" s="3" t="s">
        <v>238</v>
      </c>
      <c r="E353" t="s">
        <v>7</v>
      </c>
    </row>
    <row r="354" spans="1:5" x14ac:dyDescent="0.25">
      <c r="A354">
        <v>2553</v>
      </c>
      <c r="B354" t="s">
        <v>162</v>
      </c>
      <c r="C354">
        <v>1560</v>
      </c>
      <c r="D354" s="3" t="s">
        <v>234</v>
      </c>
      <c r="E354" t="s">
        <v>7</v>
      </c>
    </row>
    <row r="355" spans="1:5" x14ac:dyDescent="0.25">
      <c r="A355">
        <v>2736</v>
      </c>
      <c r="B355" t="s">
        <v>62</v>
      </c>
      <c r="C355">
        <v>6228</v>
      </c>
      <c r="D355" s="3" t="s">
        <v>234</v>
      </c>
      <c r="E355" t="s">
        <v>15</v>
      </c>
    </row>
    <row r="356" spans="1:5" x14ac:dyDescent="0.25">
      <c r="A356">
        <v>2736</v>
      </c>
      <c r="B356" t="s">
        <v>62</v>
      </c>
      <c r="C356">
        <v>4284</v>
      </c>
      <c r="D356" s="3" t="s">
        <v>235</v>
      </c>
      <c r="E356" t="s">
        <v>15</v>
      </c>
    </row>
    <row r="357" spans="1:5" x14ac:dyDescent="0.25">
      <c r="A357">
        <v>2737</v>
      </c>
      <c r="B357" t="s">
        <v>134</v>
      </c>
      <c r="C357">
        <v>1665</v>
      </c>
      <c r="D357" s="3" t="s">
        <v>239</v>
      </c>
      <c r="E357" t="s">
        <v>15</v>
      </c>
    </row>
    <row r="358" spans="1:5" x14ac:dyDescent="0.25">
      <c r="A358">
        <v>2738</v>
      </c>
      <c r="B358" t="s">
        <v>16</v>
      </c>
      <c r="C358">
        <v>975</v>
      </c>
      <c r="D358" s="3" t="s">
        <v>240</v>
      </c>
      <c r="E358" t="s">
        <v>15</v>
      </c>
    </row>
    <row r="359" spans="1:5" x14ac:dyDescent="0.25">
      <c r="A359">
        <v>2738</v>
      </c>
      <c r="B359" t="s">
        <v>16</v>
      </c>
      <c r="C359">
        <v>8040</v>
      </c>
      <c r="D359" s="3" t="s">
        <v>238</v>
      </c>
      <c r="E359" t="s">
        <v>15</v>
      </c>
    </row>
    <row r="360" spans="1:5" x14ac:dyDescent="0.25">
      <c r="A360">
        <v>4808</v>
      </c>
      <c r="B360" t="s">
        <v>241</v>
      </c>
      <c r="C360">
        <v>592</v>
      </c>
      <c r="D360" s="3" t="s">
        <v>237</v>
      </c>
      <c r="E360" t="s">
        <v>25</v>
      </c>
    </row>
    <row r="361" spans="1:5" x14ac:dyDescent="0.25">
      <c r="A361">
        <v>4855</v>
      </c>
      <c r="B361" t="s">
        <v>242</v>
      </c>
      <c r="C361">
        <v>664</v>
      </c>
      <c r="D361" s="3" t="s">
        <v>243</v>
      </c>
      <c r="E361" t="s">
        <v>25</v>
      </c>
    </row>
    <row r="362" spans="1:5" x14ac:dyDescent="0.25">
      <c r="A362">
        <v>9000</v>
      </c>
      <c r="B362" t="s">
        <v>27</v>
      </c>
      <c r="C362">
        <v>1080</v>
      </c>
      <c r="D362" s="3" t="s">
        <v>237</v>
      </c>
      <c r="E362" t="s">
        <v>28</v>
      </c>
    </row>
    <row r="363" spans="1:5" x14ac:dyDescent="0.25">
      <c r="A363">
        <v>9000</v>
      </c>
      <c r="B363" t="s">
        <v>27</v>
      </c>
      <c r="C363">
        <v>864</v>
      </c>
      <c r="D363" s="3" t="s">
        <v>244</v>
      </c>
      <c r="E363" t="s">
        <v>28</v>
      </c>
    </row>
    <row r="364" spans="1:5" x14ac:dyDescent="0.25">
      <c r="A364">
        <v>9000</v>
      </c>
      <c r="B364" t="s">
        <v>27</v>
      </c>
      <c r="C364">
        <v>648</v>
      </c>
      <c r="D364" s="3" t="s">
        <v>245</v>
      </c>
      <c r="E364" t="s">
        <v>28</v>
      </c>
    </row>
    <row r="365" spans="1:5" x14ac:dyDescent="0.25">
      <c r="A365">
        <v>9001</v>
      </c>
      <c r="B365" t="s">
        <v>29</v>
      </c>
      <c r="C365">
        <v>2592</v>
      </c>
      <c r="D365" s="3" t="s">
        <v>243</v>
      </c>
      <c r="E365" t="s">
        <v>28</v>
      </c>
    </row>
    <row r="366" spans="1:5" x14ac:dyDescent="0.25">
      <c r="A366">
        <v>9001</v>
      </c>
      <c r="B366" t="s">
        <v>29</v>
      </c>
      <c r="C366">
        <v>2412</v>
      </c>
      <c r="D366" s="3" t="s">
        <v>237</v>
      </c>
      <c r="E366" t="s">
        <v>28</v>
      </c>
    </row>
    <row r="367" spans="1:5" x14ac:dyDescent="0.25">
      <c r="A367">
        <v>9001</v>
      </c>
      <c r="B367" t="s">
        <v>29</v>
      </c>
      <c r="C367">
        <v>5580</v>
      </c>
      <c r="D367" s="3" t="s">
        <v>232</v>
      </c>
      <c r="E367" t="s">
        <v>28</v>
      </c>
    </row>
    <row r="368" spans="1:5" x14ac:dyDescent="0.25">
      <c r="A368">
        <v>9001</v>
      </c>
      <c r="B368" t="s">
        <v>29</v>
      </c>
      <c r="C368">
        <v>5436</v>
      </c>
      <c r="D368" s="3" t="s">
        <v>244</v>
      </c>
      <c r="E368" t="s">
        <v>28</v>
      </c>
    </row>
    <row r="369" spans="1:5" x14ac:dyDescent="0.25">
      <c r="A369">
        <v>9001</v>
      </c>
      <c r="B369" t="s">
        <v>29</v>
      </c>
      <c r="C369">
        <v>4032</v>
      </c>
      <c r="D369" s="3" t="s">
        <v>246</v>
      </c>
      <c r="E369" t="s">
        <v>28</v>
      </c>
    </row>
    <row r="370" spans="1:5" x14ac:dyDescent="0.25">
      <c r="A370">
        <v>9001</v>
      </c>
      <c r="B370" t="s">
        <v>29</v>
      </c>
      <c r="C370">
        <v>2160</v>
      </c>
      <c r="D370" s="3" t="s">
        <v>240</v>
      </c>
      <c r="E370" t="s">
        <v>28</v>
      </c>
    </row>
    <row r="371" spans="1:5" x14ac:dyDescent="0.25">
      <c r="A371">
        <v>9001</v>
      </c>
      <c r="B371" t="s">
        <v>29</v>
      </c>
      <c r="C371">
        <v>1008</v>
      </c>
      <c r="D371" s="3" t="s">
        <v>233</v>
      </c>
      <c r="E371" t="s">
        <v>28</v>
      </c>
    </row>
    <row r="372" spans="1:5" x14ac:dyDescent="0.25">
      <c r="A372">
        <v>9001</v>
      </c>
      <c r="B372" t="s">
        <v>29</v>
      </c>
      <c r="C372">
        <v>3060</v>
      </c>
      <c r="D372" s="3" t="s">
        <v>239</v>
      </c>
      <c r="E372" t="s">
        <v>28</v>
      </c>
    </row>
    <row r="373" spans="1:5" x14ac:dyDescent="0.25">
      <c r="A373">
        <v>9001</v>
      </c>
      <c r="B373" t="s">
        <v>29</v>
      </c>
      <c r="C373">
        <v>1224</v>
      </c>
      <c r="D373" s="3" t="s">
        <v>245</v>
      </c>
      <c r="E373" t="s">
        <v>28</v>
      </c>
    </row>
    <row r="374" spans="1:5" x14ac:dyDescent="0.25">
      <c r="A374">
        <v>9001</v>
      </c>
      <c r="B374" t="s">
        <v>29</v>
      </c>
      <c r="C374">
        <v>1440</v>
      </c>
      <c r="D374" s="3" t="s">
        <v>245</v>
      </c>
      <c r="E374" t="s">
        <v>28</v>
      </c>
    </row>
    <row r="375" spans="1:5" x14ac:dyDescent="0.25">
      <c r="A375">
        <v>9002</v>
      </c>
      <c r="B375" t="s">
        <v>170</v>
      </c>
      <c r="C375">
        <v>5280</v>
      </c>
      <c r="D375" s="3" t="s">
        <v>243</v>
      </c>
      <c r="E375" t="s">
        <v>28</v>
      </c>
    </row>
    <row r="376" spans="1:5" x14ac:dyDescent="0.25">
      <c r="A376">
        <v>9002</v>
      </c>
      <c r="B376" t="s">
        <v>170</v>
      </c>
      <c r="C376">
        <v>2112</v>
      </c>
      <c r="D376" s="3" t="s">
        <v>237</v>
      </c>
      <c r="E376" t="s">
        <v>28</v>
      </c>
    </row>
    <row r="377" spans="1:5" x14ac:dyDescent="0.25">
      <c r="A377">
        <v>9002</v>
      </c>
      <c r="B377" t="s">
        <v>170</v>
      </c>
      <c r="C377">
        <v>1320</v>
      </c>
      <c r="D377" s="3" t="s">
        <v>245</v>
      </c>
      <c r="E377" t="s">
        <v>28</v>
      </c>
    </row>
    <row r="378" spans="1:5" x14ac:dyDescent="0.25">
      <c r="A378">
        <v>9003</v>
      </c>
      <c r="B378" t="s">
        <v>32</v>
      </c>
      <c r="C378">
        <v>432</v>
      </c>
      <c r="D378" s="3" t="s">
        <v>237</v>
      </c>
      <c r="E378" t="s">
        <v>28</v>
      </c>
    </row>
    <row r="379" spans="1:5" x14ac:dyDescent="0.25">
      <c r="A379">
        <v>9003</v>
      </c>
      <c r="B379" t="s">
        <v>32</v>
      </c>
      <c r="C379">
        <v>2628</v>
      </c>
      <c r="D379" s="3" t="s">
        <v>244</v>
      </c>
      <c r="E379" t="s">
        <v>28</v>
      </c>
    </row>
    <row r="380" spans="1:5" x14ac:dyDescent="0.25">
      <c r="A380">
        <v>9003</v>
      </c>
      <c r="B380" t="s">
        <v>32</v>
      </c>
      <c r="C380">
        <v>5292</v>
      </c>
      <c r="D380" s="3" t="s">
        <v>246</v>
      </c>
      <c r="E380" t="s">
        <v>28</v>
      </c>
    </row>
    <row r="381" spans="1:5" x14ac:dyDescent="0.25">
      <c r="A381">
        <v>9003</v>
      </c>
      <c r="B381" t="s">
        <v>32</v>
      </c>
      <c r="C381">
        <v>3924</v>
      </c>
      <c r="D381" s="3" t="s">
        <v>240</v>
      </c>
      <c r="E381" t="s">
        <v>28</v>
      </c>
    </row>
    <row r="382" spans="1:5" x14ac:dyDescent="0.25">
      <c r="A382">
        <v>9003</v>
      </c>
      <c r="B382" t="s">
        <v>32</v>
      </c>
      <c r="C382">
        <v>5076</v>
      </c>
      <c r="D382" s="3" t="s">
        <v>233</v>
      </c>
      <c r="E382" t="s">
        <v>28</v>
      </c>
    </row>
    <row r="383" spans="1:5" x14ac:dyDescent="0.25">
      <c r="A383">
        <v>9003</v>
      </c>
      <c r="B383" t="s">
        <v>32</v>
      </c>
      <c r="C383">
        <v>3852</v>
      </c>
      <c r="D383" s="3" t="s">
        <v>236</v>
      </c>
      <c r="E383" t="s">
        <v>28</v>
      </c>
    </row>
    <row r="384" spans="1:5" x14ac:dyDescent="0.25">
      <c r="A384">
        <v>9003</v>
      </c>
      <c r="B384" t="s">
        <v>32</v>
      </c>
      <c r="C384">
        <v>4608</v>
      </c>
      <c r="D384" s="3" t="s">
        <v>239</v>
      </c>
      <c r="E384" t="s">
        <v>28</v>
      </c>
    </row>
    <row r="385" spans="1:5" x14ac:dyDescent="0.25">
      <c r="A385">
        <v>9003</v>
      </c>
      <c r="B385" t="s">
        <v>32</v>
      </c>
      <c r="C385">
        <v>4428</v>
      </c>
      <c r="D385" s="3" t="s">
        <v>245</v>
      </c>
      <c r="E385" t="s">
        <v>28</v>
      </c>
    </row>
    <row r="386" spans="1:5" x14ac:dyDescent="0.25">
      <c r="A386">
        <v>9004</v>
      </c>
      <c r="B386" t="s">
        <v>33</v>
      </c>
      <c r="C386">
        <v>936</v>
      </c>
      <c r="D386" s="3" t="s">
        <v>244</v>
      </c>
      <c r="E386" t="s">
        <v>28</v>
      </c>
    </row>
    <row r="387" spans="1:5" x14ac:dyDescent="0.25">
      <c r="A387">
        <v>9004</v>
      </c>
      <c r="B387" t="s">
        <v>33</v>
      </c>
      <c r="C387">
        <v>2736</v>
      </c>
      <c r="D387" s="3" t="s">
        <v>233</v>
      </c>
      <c r="E387" t="s">
        <v>28</v>
      </c>
    </row>
    <row r="388" spans="1:5" x14ac:dyDescent="0.25">
      <c r="A388">
        <v>9005</v>
      </c>
      <c r="B388" t="s">
        <v>34</v>
      </c>
      <c r="C388">
        <v>900</v>
      </c>
      <c r="D388" s="3" t="s">
        <v>243</v>
      </c>
      <c r="E388" t="s">
        <v>28</v>
      </c>
    </row>
    <row r="389" spans="1:5" x14ac:dyDescent="0.25">
      <c r="A389">
        <v>9005</v>
      </c>
      <c r="B389" t="s">
        <v>34</v>
      </c>
      <c r="C389">
        <v>900</v>
      </c>
      <c r="D389" s="3" t="s">
        <v>232</v>
      </c>
      <c r="E389" t="s">
        <v>28</v>
      </c>
    </row>
    <row r="390" spans="1:5" x14ac:dyDescent="0.25">
      <c r="A390">
        <v>9007</v>
      </c>
      <c r="B390" t="s">
        <v>230</v>
      </c>
      <c r="C390">
        <v>648</v>
      </c>
      <c r="D390" s="3" t="s">
        <v>244</v>
      </c>
      <c r="E390" t="s">
        <v>28</v>
      </c>
    </row>
    <row r="391" spans="1:5" x14ac:dyDescent="0.25">
      <c r="A391">
        <v>9007</v>
      </c>
      <c r="B391" t="s">
        <v>230</v>
      </c>
      <c r="C391">
        <v>864</v>
      </c>
      <c r="D391" s="3" t="s">
        <v>233</v>
      </c>
      <c r="E391" t="s">
        <v>28</v>
      </c>
    </row>
    <row r="392" spans="1:5" x14ac:dyDescent="0.25">
      <c r="A392">
        <v>9011</v>
      </c>
      <c r="B392" t="s">
        <v>78</v>
      </c>
      <c r="C392">
        <v>1656</v>
      </c>
      <c r="D392" s="3" t="s">
        <v>244</v>
      </c>
      <c r="E392" t="s">
        <v>28</v>
      </c>
    </row>
    <row r="393" spans="1:5" x14ac:dyDescent="0.25">
      <c r="A393">
        <v>9011</v>
      </c>
      <c r="B393" t="s">
        <v>78</v>
      </c>
      <c r="C393">
        <v>2052</v>
      </c>
      <c r="D393" s="3" t="s">
        <v>240</v>
      </c>
      <c r="E393" t="s">
        <v>28</v>
      </c>
    </row>
    <row r="394" spans="1:5" x14ac:dyDescent="0.25">
      <c r="A394">
        <v>9011</v>
      </c>
      <c r="B394" t="s">
        <v>78</v>
      </c>
      <c r="C394">
        <v>1116</v>
      </c>
      <c r="D394" s="3" t="s">
        <v>236</v>
      </c>
      <c r="E394" t="s">
        <v>28</v>
      </c>
    </row>
    <row r="395" spans="1:5" x14ac:dyDescent="0.25">
      <c r="A395">
        <v>9013</v>
      </c>
      <c r="B395" t="s">
        <v>35</v>
      </c>
      <c r="C395">
        <v>900</v>
      </c>
      <c r="D395" s="3" t="s">
        <v>240</v>
      </c>
      <c r="E395" t="s">
        <v>28</v>
      </c>
    </row>
    <row r="396" spans="1:5" x14ac:dyDescent="0.25">
      <c r="A396">
        <v>9013</v>
      </c>
      <c r="B396" t="s">
        <v>35</v>
      </c>
      <c r="C396">
        <v>180</v>
      </c>
      <c r="D396" s="3" t="s">
        <v>233</v>
      </c>
      <c r="E396" t="s">
        <v>28</v>
      </c>
    </row>
    <row r="397" spans="1:5" x14ac:dyDescent="0.25">
      <c r="A397">
        <v>9013</v>
      </c>
      <c r="B397" t="s">
        <v>35</v>
      </c>
      <c r="C397">
        <v>4608</v>
      </c>
      <c r="D397" s="3" t="s">
        <v>236</v>
      </c>
      <c r="E397" t="s">
        <v>28</v>
      </c>
    </row>
    <row r="398" spans="1:5" x14ac:dyDescent="0.25">
      <c r="A398">
        <v>9014</v>
      </c>
      <c r="B398" t="s">
        <v>185</v>
      </c>
      <c r="C398">
        <v>2664</v>
      </c>
      <c r="D398" s="3" t="s">
        <v>239</v>
      </c>
      <c r="E398" t="s">
        <v>28</v>
      </c>
    </row>
    <row r="399" spans="1:5" x14ac:dyDescent="0.25">
      <c r="A399">
        <v>9018</v>
      </c>
      <c r="B399" t="s">
        <v>36</v>
      </c>
      <c r="C399">
        <v>648</v>
      </c>
      <c r="D399" s="3" t="s">
        <v>244</v>
      </c>
      <c r="E399" t="s">
        <v>28</v>
      </c>
    </row>
    <row r="400" spans="1:5" x14ac:dyDescent="0.25">
      <c r="A400">
        <v>9019</v>
      </c>
      <c r="B400" t="s">
        <v>37</v>
      </c>
      <c r="C400">
        <v>5544</v>
      </c>
      <c r="D400" s="3" t="s">
        <v>243</v>
      </c>
      <c r="E400" t="s">
        <v>28</v>
      </c>
    </row>
    <row r="401" spans="1:5" x14ac:dyDescent="0.25">
      <c r="A401">
        <v>9019</v>
      </c>
      <c r="B401" t="s">
        <v>37</v>
      </c>
      <c r="C401">
        <v>2772</v>
      </c>
      <c r="D401" s="3" t="s">
        <v>232</v>
      </c>
      <c r="E401" t="s">
        <v>28</v>
      </c>
    </row>
    <row r="402" spans="1:5" x14ac:dyDescent="0.25">
      <c r="A402">
        <v>9019</v>
      </c>
      <c r="B402" t="s">
        <v>37</v>
      </c>
      <c r="C402">
        <v>1008</v>
      </c>
      <c r="D402" s="3" t="s">
        <v>240</v>
      </c>
      <c r="E402" t="s">
        <v>28</v>
      </c>
    </row>
    <row r="403" spans="1:5" x14ac:dyDescent="0.25">
      <c r="A403">
        <v>9019</v>
      </c>
      <c r="B403" t="s">
        <v>37</v>
      </c>
      <c r="C403">
        <v>2772</v>
      </c>
      <c r="D403" s="3" t="s">
        <v>239</v>
      </c>
      <c r="E403" t="s">
        <v>28</v>
      </c>
    </row>
    <row r="404" spans="1:5" x14ac:dyDescent="0.25">
      <c r="A404">
        <v>9019</v>
      </c>
      <c r="B404" t="s">
        <v>37</v>
      </c>
      <c r="C404">
        <v>2484</v>
      </c>
      <c r="D404" s="3" t="s">
        <v>245</v>
      </c>
      <c r="E404" t="s">
        <v>28</v>
      </c>
    </row>
    <row r="405" spans="1:5" x14ac:dyDescent="0.25">
      <c r="A405">
        <v>9026</v>
      </c>
      <c r="B405" t="s">
        <v>80</v>
      </c>
      <c r="C405">
        <v>4608</v>
      </c>
      <c r="D405" s="3" t="s">
        <v>237</v>
      </c>
      <c r="E405" t="s">
        <v>28</v>
      </c>
    </row>
    <row r="406" spans="1:5" x14ac:dyDescent="0.25">
      <c r="A406">
        <v>9026</v>
      </c>
      <c r="B406" t="s">
        <v>80</v>
      </c>
      <c r="C406">
        <v>2304</v>
      </c>
      <c r="D406" s="3" t="s">
        <v>246</v>
      </c>
      <c r="E406" t="s">
        <v>28</v>
      </c>
    </row>
    <row r="407" spans="1:5" x14ac:dyDescent="0.25">
      <c r="A407">
        <v>9026</v>
      </c>
      <c r="B407" t="s">
        <v>80</v>
      </c>
      <c r="C407">
        <v>2304</v>
      </c>
      <c r="D407" s="3" t="s">
        <v>238</v>
      </c>
      <c r="E407" t="s">
        <v>28</v>
      </c>
    </row>
    <row r="408" spans="1:5" x14ac:dyDescent="0.25">
      <c r="A408">
        <v>9029</v>
      </c>
      <c r="B408" t="s">
        <v>41</v>
      </c>
      <c r="C408">
        <v>1368</v>
      </c>
      <c r="D408" s="3" t="s">
        <v>237</v>
      </c>
      <c r="E408" t="s">
        <v>28</v>
      </c>
    </row>
    <row r="409" spans="1:5" x14ac:dyDescent="0.25">
      <c r="A409">
        <v>9029</v>
      </c>
      <c r="B409" t="s">
        <v>41</v>
      </c>
      <c r="C409">
        <v>720</v>
      </c>
      <c r="D409" s="3" t="s">
        <v>232</v>
      </c>
      <c r="E409" t="s">
        <v>28</v>
      </c>
    </row>
    <row r="410" spans="1:5" x14ac:dyDescent="0.25">
      <c r="A410">
        <v>9029</v>
      </c>
      <c r="B410" t="s">
        <v>41</v>
      </c>
      <c r="C410">
        <v>792</v>
      </c>
      <c r="D410" s="3" t="s">
        <v>245</v>
      </c>
      <c r="E410" t="s">
        <v>28</v>
      </c>
    </row>
    <row r="411" spans="1:5" x14ac:dyDescent="0.25">
      <c r="A411">
        <v>9032</v>
      </c>
      <c r="B411" t="s">
        <v>172</v>
      </c>
      <c r="C411">
        <v>2016</v>
      </c>
      <c r="D411" s="3" t="s">
        <v>234</v>
      </c>
      <c r="E411" t="s">
        <v>43</v>
      </c>
    </row>
    <row r="412" spans="1:5" x14ac:dyDescent="0.25">
      <c r="A412">
        <v>9034</v>
      </c>
      <c r="B412" t="s">
        <v>82</v>
      </c>
      <c r="C412">
        <v>5040</v>
      </c>
      <c r="D412" s="3" t="s">
        <v>244</v>
      </c>
      <c r="E412" t="s">
        <v>15</v>
      </c>
    </row>
    <row r="413" spans="1:5" x14ac:dyDescent="0.25">
      <c r="A413">
        <v>9034</v>
      </c>
      <c r="B413" t="s">
        <v>82</v>
      </c>
      <c r="C413">
        <v>5040</v>
      </c>
      <c r="D413" s="3" t="s">
        <v>246</v>
      </c>
      <c r="E413" t="s">
        <v>15</v>
      </c>
    </row>
    <row r="414" spans="1:5" x14ac:dyDescent="0.25">
      <c r="A414">
        <v>9053</v>
      </c>
      <c r="B414" t="s">
        <v>44</v>
      </c>
      <c r="C414">
        <v>300</v>
      </c>
      <c r="D414" s="3" t="s">
        <v>243</v>
      </c>
      <c r="E414" t="s">
        <v>45</v>
      </c>
    </row>
    <row r="415" spans="1:5" x14ac:dyDescent="0.25">
      <c r="A415">
        <v>9053</v>
      </c>
      <c r="B415" t="s">
        <v>44</v>
      </c>
      <c r="C415">
        <v>2000</v>
      </c>
      <c r="D415" s="3" t="s">
        <v>232</v>
      </c>
      <c r="E415" t="s">
        <v>45</v>
      </c>
    </row>
    <row r="416" spans="1:5" x14ac:dyDescent="0.25">
      <c r="A416">
        <v>9053</v>
      </c>
      <c r="B416" t="s">
        <v>44</v>
      </c>
      <c r="C416">
        <v>1970</v>
      </c>
      <c r="D416" s="3" t="s">
        <v>233</v>
      </c>
      <c r="E416" t="s">
        <v>45</v>
      </c>
    </row>
    <row r="417" spans="1:5" x14ac:dyDescent="0.25">
      <c r="A417">
        <v>9053</v>
      </c>
      <c r="B417" t="s">
        <v>44</v>
      </c>
      <c r="C417">
        <v>2560</v>
      </c>
      <c r="D417" s="3" t="s">
        <v>239</v>
      </c>
      <c r="E417" t="s">
        <v>45</v>
      </c>
    </row>
    <row r="418" spans="1:5" x14ac:dyDescent="0.25">
      <c r="A418">
        <v>9188</v>
      </c>
      <c r="B418" t="s">
        <v>48</v>
      </c>
      <c r="C418">
        <v>1900</v>
      </c>
      <c r="D418" s="3" t="s">
        <v>243</v>
      </c>
      <c r="E418" t="s">
        <v>15</v>
      </c>
    </row>
    <row r="419" spans="1:5" x14ac:dyDescent="0.25">
      <c r="A419">
        <v>9188</v>
      </c>
      <c r="B419" t="s">
        <v>48</v>
      </c>
      <c r="C419">
        <v>1920</v>
      </c>
      <c r="D419" s="3" t="s">
        <v>237</v>
      </c>
      <c r="E419" t="s">
        <v>15</v>
      </c>
    </row>
    <row r="420" spans="1:5" x14ac:dyDescent="0.25">
      <c r="A420">
        <v>9188</v>
      </c>
      <c r="B420" t="s">
        <v>48</v>
      </c>
      <c r="C420">
        <v>2170</v>
      </c>
      <c r="D420" s="3" t="s">
        <v>240</v>
      </c>
      <c r="E420" t="s">
        <v>15</v>
      </c>
    </row>
    <row r="421" spans="1:5" x14ac:dyDescent="0.25">
      <c r="A421">
        <v>9188</v>
      </c>
      <c r="B421" t="s">
        <v>48</v>
      </c>
      <c r="C421">
        <v>3560</v>
      </c>
      <c r="D421" s="3" t="s">
        <v>236</v>
      </c>
      <c r="E421" t="s">
        <v>15</v>
      </c>
    </row>
    <row r="422" spans="1:5" x14ac:dyDescent="0.25">
      <c r="A422">
        <v>9188</v>
      </c>
      <c r="B422" t="s">
        <v>48</v>
      </c>
      <c r="C422">
        <v>4200</v>
      </c>
      <c r="D422" s="3" t="s">
        <v>245</v>
      </c>
      <c r="E422" t="s">
        <v>15</v>
      </c>
    </row>
    <row r="423" spans="1:5" x14ac:dyDescent="0.25">
      <c r="A423">
        <v>9201</v>
      </c>
      <c r="B423" t="s">
        <v>50</v>
      </c>
      <c r="C423">
        <v>2630</v>
      </c>
      <c r="D423" s="3" t="s">
        <v>235</v>
      </c>
      <c r="E423" t="s">
        <v>15</v>
      </c>
    </row>
    <row r="424" spans="1:5" x14ac:dyDescent="0.25">
      <c r="A424">
        <v>9213</v>
      </c>
      <c r="B424" t="s">
        <v>84</v>
      </c>
      <c r="C424">
        <v>3927</v>
      </c>
      <c r="D424" s="3" t="s">
        <v>243</v>
      </c>
      <c r="E424" t="s">
        <v>15</v>
      </c>
    </row>
    <row r="425" spans="1:5" x14ac:dyDescent="0.25">
      <c r="A425">
        <v>9213</v>
      </c>
      <c r="B425" t="s">
        <v>84</v>
      </c>
      <c r="C425">
        <v>3762</v>
      </c>
      <c r="D425" s="3" t="s">
        <v>237</v>
      </c>
      <c r="E425" t="s">
        <v>15</v>
      </c>
    </row>
    <row r="426" spans="1:5" x14ac:dyDescent="0.25">
      <c r="A426">
        <v>9213</v>
      </c>
      <c r="B426" t="s">
        <v>84</v>
      </c>
      <c r="C426">
        <v>264</v>
      </c>
      <c r="D426" s="3" t="s">
        <v>233</v>
      </c>
      <c r="E426" t="s">
        <v>15</v>
      </c>
    </row>
    <row r="427" spans="1:5" x14ac:dyDescent="0.25">
      <c r="A427">
        <v>9214</v>
      </c>
      <c r="B427" t="s">
        <v>247</v>
      </c>
      <c r="C427">
        <v>600</v>
      </c>
      <c r="D427" s="3" t="s">
        <v>235</v>
      </c>
      <c r="E427" t="s">
        <v>15</v>
      </c>
    </row>
    <row r="428" spans="1:5" x14ac:dyDescent="0.25">
      <c r="A428">
        <v>9229</v>
      </c>
      <c r="B428" t="s">
        <v>52</v>
      </c>
      <c r="C428">
        <v>280</v>
      </c>
      <c r="D428" s="3" t="s">
        <v>232</v>
      </c>
      <c r="E428" t="s">
        <v>28</v>
      </c>
    </row>
    <row r="429" spans="1:5" x14ac:dyDescent="0.25">
      <c r="A429">
        <v>9229</v>
      </c>
      <c r="B429" t="s">
        <v>52</v>
      </c>
      <c r="C429">
        <v>152</v>
      </c>
      <c r="D429" s="3" t="s">
        <v>240</v>
      </c>
      <c r="E429" t="s">
        <v>28</v>
      </c>
    </row>
    <row r="430" spans="1:5" x14ac:dyDescent="0.25">
      <c r="A430">
        <v>9229</v>
      </c>
      <c r="B430" t="s">
        <v>52</v>
      </c>
      <c r="C430">
        <v>276</v>
      </c>
      <c r="D430" s="3" t="s">
        <v>233</v>
      </c>
      <c r="E430" t="s">
        <v>28</v>
      </c>
    </row>
    <row r="431" spans="1:5" x14ac:dyDescent="0.25">
      <c r="A431">
        <v>9229</v>
      </c>
      <c r="B431" t="s">
        <v>52</v>
      </c>
      <c r="C431">
        <v>246</v>
      </c>
      <c r="D431" s="3" t="s">
        <v>238</v>
      </c>
      <c r="E431" t="s">
        <v>28</v>
      </c>
    </row>
    <row r="432" spans="1:5" x14ac:dyDescent="0.25">
      <c r="A432">
        <v>9229</v>
      </c>
      <c r="B432" t="s">
        <v>52</v>
      </c>
      <c r="C432">
        <v>132</v>
      </c>
      <c r="D432" s="3" t="s">
        <v>234</v>
      </c>
      <c r="E432" t="s">
        <v>28</v>
      </c>
    </row>
    <row r="433" spans="1:5" x14ac:dyDescent="0.25">
      <c r="A433">
        <v>9229</v>
      </c>
      <c r="B433" t="s">
        <v>52</v>
      </c>
      <c r="C433">
        <v>60</v>
      </c>
      <c r="D433" s="3" t="s">
        <v>235</v>
      </c>
      <c r="E433" t="s">
        <v>28</v>
      </c>
    </row>
    <row r="434" spans="1:5" x14ac:dyDescent="0.25">
      <c r="A434">
        <v>9235</v>
      </c>
      <c r="B434" t="s">
        <v>85</v>
      </c>
      <c r="C434">
        <v>1760</v>
      </c>
      <c r="D434" s="3" t="s">
        <v>245</v>
      </c>
      <c r="E434" t="s">
        <v>15</v>
      </c>
    </row>
    <row r="435" spans="1:5" x14ac:dyDescent="0.25">
      <c r="A435">
        <v>9237</v>
      </c>
      <c r="B435" t="s">
        <v>53</v>
      </c>
      <c r="C435">
        <v>756</v>
      </c>
      <c r="D435" s="3" t="s">
        <v>233</v>
      </c>
      <c r="E435" t="s">
        <v>15</v>
      </c>
    </row>
    <row r="436" spans="1:5" x14ac:dyDescent="0.25">
      <c r="A436">
        <v>9237</v>
      </c>
      <c r="B436" t="s">
        <v>53</v>
      </c>
      <c r="C436">
        <v>372</v>
      </c>
      <c r="D436" s="3" t="s">
        <v>239</v>
      </c>
      <c r="E436" t="s">
        <v>15</v>
      </c>
    </row>
    <row r="437" spans="1:5" x14ac:dyDescent="0.25">
      <c r="A437">
        <v>9238</v>
      </c>
      <c r="B437" t="s">
        <v>121</v>
      </c>
      <c r="C437">
        <v>96</v>
      </c>
      <c r="D437" s="3" t="s">
        <v>240</v>
      </c>
      <c r="E437" t="s">
        <v>28</v>
      </c>
    </row>
    <row r="438" spans="1:5" x14ac:dyDescent="0.25">
      <c r="A438">
        <v>9238</v>
      </c>
      <c r="B438" t="s">
        <v>121</v>
      </c>
      <c r="C438">
        <v>120</v>
      </c>
      <c r="D438" s="3" t="s">
        <v>234</v>
      </c>
      <c r="E438" t="s">
        <v>28</v>
      </c>
    </row>
    <row r="439" spans="1:5" x14ac:dyDescent="0.25">
      <c r="A439">
        <v>9238</v>
      </c>
      <c r="B439" t="s">
        <v>121</v>
      </c>
      <c r="C439">
        <v>240</v>
      </c>
      <c r="D439" s="3" t="s">
        <v>234</v>
      </c>
      <c r="E439" t="s">
        <v>28</v>
      </c>
    </row>
    <row r="440" spans="1:5" x14ac:dyDescent="0.25">
      <c r="A440">
        <v>2283</v>
      </c>
      <c r="B440" t="s">
        <v>152</v>
      </c>
      <c r="C440">
        <v>1624</v>
      </c>
      <c r="D440" s="3" t="s">
        <v>248</v>
      </c>
      <c r="E440" t="s">
        <v>7</v>
      </c>
    </row>
    <row r="441" spans="1:5" x14ac:dyDescent="0.25">
      <c r="A441">
        <v>2289</v>
      </c>
      <c r="B441" t="s">
        <v>159</v>
      </c>
      <c r="C441">
        <v>784</v>
      </c>
      <c r="D441" s="3" t="s">
        <v>248</v>
      </c>
      <c r="E441" t="s">
        <v>7</v>
      </c>
    </row>
    <row r="442" spans="1:5" x14ac:dyDescent="0.25">
      <c r="A442">
        <v>2290</v>
      </c>
      <c r="B442" t="s">
        <v>160</v>
      </c>
      <c r="C442">
        <v>632</v>
      </c>
      <c r="D442" s="3" t="s">
        <v>249</v>
      </c>
      <c r="E442" t="s">
        <v>7</v>
      </c>
    </row>
    <row r="443" spans="1:5" x14ac:dyDescent="0.25">
      <c r="A443">
        <v>2738</v>
      </c>
      <c r="B443" t="s">
        <v>16</v>
      </c>
      <c r="C443">
        <v>768</v>
      </c>
      <c r="D443" s="3" t="s">
        <v>248</v>
      </c>
      <c r="E443" t="s">
        <v>15</v>
      </c>
    </row>
    <row r="444" spans="1:5" x14ac:dyDescent="0.25">
      <c r="A444">
        <v>9000</v>
      </c>
      <c r="B444" t="s">
        <v>27</v>
      </c>
      <c r="C444">
        <v>1944</v>
      </c>
      <c r="D444" s="3" t="s">
        <v>250</v>
      </c>
      <c r="E444" t="s">
        <v>28</v>
      </c>
    </row>
    <row r="445" spans="1:5" x14ac:dyDescent="0.25">
      <c r="A445">
        <v>9001</v>
      </c>
      <c r="B445" t="s">
        <v>29</v>
      </c>
      <c r="C445">
        <v>4500</v>
      </c>
      <c r="D445" s="3" t="s">
        <v>250</v>
      </c>
      <c r="E445" t="s">
        <v>28</v>
      </c>
    </row>
    <row r="446" spans="1:5" x14ac:dyDescent="0.25">
      <c r="A446">
        <v>9001</v>
      </c>
      <c r="B446" t="s">
        <v>29</v>
      </c>
      <c r="C446">
        <v>1836</v>
      </c>
      <c r="D446" s="3" t="s">
        <v>249</v>
      </c>
      <c r="E446" t="s">
        <v>28</v>
      </c>
    </row>
    <row r="447" spans="1:5" x14ac:dyDescent="0.25">
      <c r="A447">
        <v>9001</v>
      </c>
      <c r="B447" t="s">
        <v>29</v>
      </c>
      <c r="C447">
        <v>1224</v>
      </c>
      <c r="D447" s="3" t="s">
        <v>248</v>
      </c>
      <c r="E447" t="s">
        <v>28</v>
      </c>
    </row>
    <row r="448" spans="1:5" x14ac:dyDescent="0.25">
      <c r="A448">
        <v>9002</v>
      </c>
      <c r="B448" t="s">
        <v>170</v>
      </c>
      <c r="C448">
        <v>528</v>
      </c>
      <c r="D448" s="3" t="s">
        <v>249</v>
      </c>
      <c r="E448" t="s">
        <v>28</v>
      </c>
    </row>
    <row r="449" spans="1:5" x14ac:dyDescent="0.25">
      <c r="A449">
        <v>9002</v>
      </c>
      <c r="B449" t="s">
        <v>170</v>
      </c>
      <c r="C449">
        <v>2112</v>
      </c>
      <c r="D449" s="3" t="s">
        <v>249</v>
      </c>
      <c r="E449" t="s">
        <v>28</v>
      </c>
    </row>
    <row r="450" spans="1:5" x14ac:dyDescent="0.25">
      <c r="A450">
        <v>9003</v>
      </c>
      <c r="B450" t="s">
        <v>32</v>
      </c>
      <c r="C450">
        <v>1548</v>
      </c>
      <c r="D450" s="3" t="s">
        <v>250</v>
      </c>
      <c r="E450" t="s">
        <v>28</v>
      </c>
    </row>
    <row r="451" spans="1:5" x14ac:dyDescent="0.25">
      <c r="A451">
        <v>9003</v>
      </c>
      <c r="B451" t="s">
        <v>32</v>
      </c>
      <c r="C451">
        <v>3744</v>
      </c>
      <c r="D451" s="3" t="s">
        <v>248</v>
      </c>
      <c r="E451" t="s">
        <v>28</v>
      </c>
    </row>
    <row r="452" spans="1:5" x14ac:dyDescent="0.25">
      <c r="A452">
        <v>9004</v>
      </c>
      <c r="B452" t="s">
        <v>33</v>
      </c>
      <c r="C452">
        <v>1836</v>
      </c>
      <c r="D452" s="3" t="s">
        <v>248</v>
      </c>
      <c r="E452" t="s">
        <v>28</v>
      </c>
    </row>
    <row r="453" spans="1:5" x14ac:dyDescent="0.25">
      <c r="A453">
        <v>9013</v>
      </c>
      <c r="B453" t="s">
        <v>35</v>
      </c>
      <c r="C453">
        <v>828</v>
      </c>
      <c r="D453" s="3" t="s">
        <v>248</v>
      </c>
      <c r="E453" t="s">
        <v>28</v>
      </c>
    </row>
    <row r="454" spans="1:5" x14ac:dyDescent="0.25">
      <c r="A454">
        <v>9015</v>
      </c>
      <c r="B454" t="s">
        <v>251</v>
      </c>
      <c r="C454">
        <v>432</v>
      </c>
      <c r="D454" s="3" t="s">
        <v>249</v>
      </c>
      <c r="E454" t="s">
        <v>28</v>
      </c>
    </row>
    <row r="455" spans="1:5" x14ac:dyDescent="0.25">
      <c r="A455">
        <v>9019</v>
      </c>
      <c r="B455" t="s">
        <v>37</v>
      </c>
      <c r="C455">
        <v>3240</v>
      </c>
      <c r="D455" s="3" t="s">
        <v>250</v>
      </c>
      <c r="E455" t="s">
        <v>28</v>
      </c>
    </row>
    <row r="456" spans="1:5" x14ac:dyDescent="0.25">
      <c r="A456">
        <v>9019</v>
      </c>
      <c r="B456" t="s">
        <v>37</v>
      </c>
      <c r="C456">
        <v>5580</v>
      </c>
      <c r="D456" s="3" t="s">
        <v>249</v>
      </c>
      <c r="E456" t="s">
        <v>28</v>
      </c>
    </row>
    <row r="457" spans="1:5" x14ac:dyDescent="0.25">
      <c r="A457">
        <v>9019</v>
      </c>
      <c r="B457" t="s">
        <v>37</v>
      </c>
      <c r="C457">
        <v>2916</v>
      </c>
      <c r="D457" s="3" t="s">
        <v>248</v>
      </c>
      <c r="E457" t="s">
        <v>28</v>
      </c>
    </row>
    <row r="458" spans="1:5" x14ac:dyDescent="0.25">
      <c r="A458">
        <v>9025</v>
      </c>
      <c r="B458" t="s">
        <v>40</v>
      </c>
      <c r="C458">
        <v>1476</v>
      </c>
      <c r="D458" s="3" t="s">
        <v>250</v>
      </c>
      <c r="E458" t="s">
        <v>28</v>
      </c>
    </row>
    <row r="459" spans="1:5" x14ac:dyDescent="0.25">
      <c r="A459">
        <v>9034</v>
      </c>
      <c r="B459" t="s">
        <v>82</v>
      </c>
      <c r="C459">
        <v>3525</v>
      </c>
      <c r="D459" s="3" t="s">
        <v>250</v>
      </c>
      <c r="E459" t="s">
        <v>15</v>
      </c>
    </row>
    <row r="460" spans="1:5" x14ac:dyDescent="0.25">
      <c r="A460">
        <v>9034</v>
      </c>
      <c r="B460" t="s">
        <v>82</v>
      </c>
      <c r="C460">
        <v>1350</v>
      </c>
      <c r="D460" s="3" t="s">
        <v>248</v>
      </c>
      <c r="E460" t="s">
        <v>15</v>
      </c>
    </row>
    <row r="461" spans="1:5" x14ac:dyDescent="0.25">
      <c r="A461">
        <v>9053</v>
      </c>
      <c r="B461" t="s">
        <v>44</v>
      </c>
      <c r="C461">
        <v>360</v>
      </c>
      <c r="D461" s="3" t="s">
        <v>250</v>
      </c>
      <c r="E461" t="s">
        <v>45</v>
      </c>
    </row>
    <row r="462" spans="1:5" x14ac:dyDescent="0.25">
      <c r="A462">
        <v>9053</v>
      </c>
      <c r="B462" t="s">
        <v>44</v>
      </c>
      <c r="C462">
        <v>1130</v>
      </c>
      <c r="D462" s="3" t="s">
        <v>249</v>
      </c>
      <c r="E462" t="s">
        <v>45</v>
      </c>
    </row>
    <row r="463" spans="1:5" x14ac:dyDescent="0.25">
      <c r="A463">
        <v>9201</v>
      </c>
      <c r="B463" t="s">
        <v>50</v>
      </c>
      <c r="C463">
        <v>390</v>
      </c>
      <c r="D463" s="3" t="s">
        <v>248</v>
      </c>
      <c r="E463" t="s">
        <v>15</v>
      </c>
    </row>
    <row r="464" spans="1:5" x14ac:dyDescent="0.25">
      <c r="A464">
        <v>9213</v>
      </c>
      <c r="B464" t="s">
        <v>84</v>
      </c>
      <c r="C464">
        <v>1353</v>
      </c>
      <c r="D464" s="3" t="s">
        <v>250</v>
      </c>
      <c r="E464" t="s">
        <v>15</v>
      </c>
    </row>
    <row r="465" spans="1:5" x14ac:dyDescent="0.25">
      <c r="A465">
        <v>9213</v>
      </c>
      <c r="B465" t="s">
        <v>84</v>
      </c>
      <c r="C465">
        <v>2673</v>
      </c>
      <c r="D465" s="3" t="s">
        <v>249</v>
      </c>
      <c r="E465" t="s">
        <v>15</v>
      </c>
    </row>
    <row r="466" spans="1:5" x14ac:dyDescent="0.25">
      <c r="A466">
        <v>9214</v>
      </c>
      <c r="B466" t="s">
        <v>247</v>
      </c>
      <c r="C466">
        <v>1200</v>
      </c>
      <c r="D466" s="3" t="s">
        <v>248</v>
      </c>
      <c r="E466" t="s">
        <v>15</v>
      </c>
    </row>
    <row r="467" spans="1:5" x14ac:dyDescent="0.25">
      <c r="A467">
        <v>2283</v>
      </c>
      <c r="B467" t="s">
        <v>152</v>
      </c>
      <c r="C467">
        <v>976</v>
      </c>
      <c r="D467" s="3" t="s">
        <v>252</v>
      </c>
      <c r="E467" t="s">
        <v>7</v>
      </c>
    </row>
    <row r="468" spans="1:5" x14ac:dyDescent="0.25">
      <c r="A468">
        <v>2289</v>
      </c>
      <c r="B468" t="s">
        <v>159</v>
      </c>
      <c r="C468">
        <v>1032</v>
      </c>
      <c r="D468" s="3" t="s">
        <v>253</v>
      </c>
      <c r="E468" t="s">
        <v>7</v>
      </c>
    </row>
    <row r="469" spans="1:5" x14ac:dyDescent="0.25">
      <c r="A469">
        <v>2289</v>
      </c>
      <c r="B469" t="s">
        <v>159</v>
      </c>
      <c r="C469">
        <v>1200</v>
      </c>
      <c r="D469" s="3" t="s">
        <v>254</v>
      </c>
      <c r="E469" t="s">
        <v>7</v>
      </c>
    </row>
    <row r="470" spans="1:5" x14ac:dyDescent="0.25">
      <c r="A470">
        <v>2543</v>
      </c>
      <c r="B470" t="s">
        <v>161</v>
      </c>
      <c r="C470">
        <v>496</v>
      </c>
      <c r="D470" s="3" t="s">
        <v>254</v>
      </c>
      <c r="E470" t="s">
        <v>7</v>
      </c>
    </row>
    <row r="471" spans="1:5" x14ac:dyDescent="0.25">
      <c r="A471">
        <v>2736</v>
      </c>
      <c r="B471" t="s">
        <v>62</v>
      </c>
      <c r="C471">
        <v>4800</v>
      </c>
      <c r="D471" s="3" t="s">
        <v>255</v>
      </c>
      <c r="E471" t="s">
        <v>15</v>
      </c>
    </row>
    <row r="472" spans="1:5" x14ac:dyDescent="0.25">
      <c r="A472">
        <v>2738</v>
      </c>
      <c r="B472" t="s">
        <v>16</v>
      </c>
      <c r="C472">
        <v>1755</v>
      </c>
      <c r="D472" s="3" t="s">
        <v>256</v>
      </c>
      <c r="E472" t="s">
        <v>15</v>
      </c>
    </row>
    <row r="473" spans="1:5" x14ac:dyDescent="0.25">
      <c r="A473">
        <v>2738</v>
      </c>
      <c r="B473" t="s">
        <v>16</v>
      </c>
      <c r="C473">
        <v>720</v>
      </c>
      <c r="D473" s="3" t="s">
        <v>253</v>
      </c>
      <c r="E473" t="s">
        <v>15</v>
      </c>
    </row>
    <row r="474" spans="1:5" x14ac:dyDescent="0.25">
      <c r="A474">
        <v>9000</v>
      </c>
      <c r="B474" t="s">
        <v>27</v>
      </c>
      <c r="C474">
        <v>6561</v>
      </c>
      <c r="D474" s="3" t="s">
        <v>256</v>
      </c>
      <c r="E474" t="s">
        <v>28</v>
      </c>
    </row>
    <row r="475" spans="1:5" x14ac:dyDescent="0.25">
      <c r="A475">
        <v>9000</v>
      </c>
      <c r="B475" t="s">
        <v>27</v>
      </c>
      <c r="C475">
        <v>9207</v>
      </c>
      <c r="D475" s="3" t="s">
        <v>252</v>
      </c>
      <c r="E475" t="s">
        <v>28</v>
      </c>
    </row>
    <row r="476" spans="1:5" x14ac:dyDescent="0.25">
      <c r="A476">
        <v>9000</v>
      </c>
      <c r="B476" t="s">
        <v>27</v>
      </c>
      <c r="C476">
        <v>9342</v>
      </c>
      <c r="D476" s="3" t="s">
        <v>253</v>
      </c>
      <c r="E476" t="s">
        <v>28</v>
      </c>
    </row>
    <row r="477" spans="1:5" x14ac:dyDescent="0.25">
      <c r="A477">
        <v>9000</v>
      </c>
      <c r="B477" t="s">
        <v>27</v>
      </c>
      <c r="C477">
        <v>3618</v>
      </c>
      <c r="D477" s="3" t="s">
        <v>254</v>
      </c>
      <c r="E477" t="s">
        <v>28</v>
      </c>
    </row>
    <row r="478" spans="1:5" x14ac:dyDescent="0.25">
      <c r="A478">
        <v>9001</v>
      </c>
      <c r="B478" t="s">
        <v>29</v>
      </c>
      <c r="C478">
        <v>1080</v>
      </c>
      <c r="D478" s="3" t="s">
        <v>256</v>
      </c>
      <c r="E478" t="s">
        <v>28</v>
      </c>
    </row>
    <row r="479" spans="1:5" x14ac:dyDescent="0.25">
      <c r="A479">
        <v>9001</v>
      </c>
      <c r="B479" t="s">
        <v>29</v>
      </c>
      <c r="C479">
        <v>864</v>
      </c>
      <c r="D479" s="3" t="s">
        <v>252</v>
      </c>
      <c r="E479" t="s">
        <v>28</v>
      </c>
    </row>
    <row r="480" spans="1:5" x14ac:dyDescent="0.25">
      <c r="A480">
        <v>9001</v>
      </c>
      <c r="B480" t="s">
        <v>29</v>
      </c>
      <c r="C480">
        <v>1512</v>
      </c>
      <c r="D480" s="3" t="s">
        <v>254</v>
      </c>
      <c r="E480" t="s">
        <v>28</v>
      </c>
    </row>
    <row r="481" spans="1:5" x14ac:dyDescent="0.25">
      <c r="A481">
        <v>9003</v>
      </c>
      <c r="B481" t="s">
        <v>32</v>
      </c>
      <c r="C481">
        <v>2484</v>
      </c>
      <c r="D481" s="3" t="s">
        <v>253</v>
      </c>
      <c r="E481" t="s">
        <v>28</v>
      </c>
    </row>
    <row r="482" spans="1:5" x14ac:dyDescent="0.25">
      <c r="A482">
        <v>9003</v>
      </c>
      <c r="B482" t="s">
        <v>32</v>
      </c>
      <c r="C482">
        <v>2484</v>
      </c>
      <c r="D482" s="3" t="s">
        <v>254</v>
      </c>
      <c r="E482" t="s">
        <v>28</v>
      </c>
    </row>
    <row r="483" spans="1:5" x14ac:dyDescent="0.25">
      <c r="A483">
        <v>9011</v>
      </c>
      <c r="B483" t="s">
        <v>78</v>
      </c>
      <c r="C483">
        <v>1044</v>
      </c>
      <c r="D483" s="3" t="s">
        <v>256</v>
      </c>
      <c r="E483" t="s">
        <v>28</v>
      </c>
    </row>
    <row r="484" spans="1:5" x14ac:dyDescent="0.25">
      <c r="A484">
        <v>9011</v>
      </c>
      <c r="B484" t="s">
        <v>78</v>
      </c>
      <c r="C484">
        <v>900</v>
      </c>
      <c r="D484" s="3" t="s">
        <v>254</v>
      </c>
      <c r="E484" t="s">
        <v>28</v>
      </c>
    </row>
    <row r="485" spans="1:5" x14ac:dyDescent="0.25">
      <c r="A485">
        <v>9013</v>
      </c>
      <c r="B485" t="s">
        <v>35</v>
      </c>
      <c r="C485">
        <v>936</v>
      </c>
      <c r="D485" s="3" t="s">
        <v>256</v>
      </c>
      <c r="E485" t="s">
        <v>28</v>
      </c>
    </row>
    <row r="486" spans="1:5" x14ac:dyDescent="0.25">
      <c r="A486">
        <v>9013</v>
      </c>
      <c r="B486" t="s">
        <v>35</v>
      </c>
      <c r="C486">
        <v>2484</v>
      </c>
      <c r="D486" s="3" t="s">
        <v>252</v>
      </c>
      <c r="E486" t="s">
        <v>28</v>
      </c>
    </row>
    <row r="487" spans="1:5" x14ac:dyDescent="0.25">
      <c r="A487">
        <v>9014</v>
      </c>
      <c r="B487" t="s">
        <v>185</v>
      </c>
      <c r="C487">
        <v>684</v>
      </c>
      <c r="D487" s="3" t="s">
        <v>253</v>
      </c>
      <c r="E487" t="s">
        <v>28</v>
      </c>
    </row>
    <row r="488" spans="1:5" x14ac:dyDescent="0.25">
      <c r="A488">
        <v>9021</v>
      </c>
      <c r="B488" t="s">
        <v>38</v>
      </c>
      <c r="C488">
        <v>2304</v>
      </c>
      <c r="D488" s="3" t="s">
        <v>254</v>
      </c>
      <c r="E488" t="s">
        <v>28</v>
      </c>
    </row>
    <row r="489" spans="1:5" x14ac:dyDescent="0.25">
      <c r="A489">
        <v>9024</v>
      </c>
      <c r="B489" t="s">
        <v>146</v>
      </c>
      <c r="C489">
        <v>2448</v>
      </c>
      <c r="D489" s="3" t="s">
        <v>254</v>
      </c>
      <c r="E489" t="s">
        <v>28</v>
      </c>
    </row>
    <row r="490" spans="1:5" x14ac:dyDescent="0.25">
      <c r="A490">
        <v>9031</v>
      </c>
      <c r="B490" t="s">
        <v>42</v>
      </c>
      <c r="C490">
        <v>3360</v>
      </c>
      <c r="D490" s="3" t="s">
        <v>255</v>
      </c>
      <c r="E490" t="s">
        <v>43</v>
      </c>
    </row>
    <row r="491" spans="1:5" x14ac:dyDescent="0.25">
      <c r="A491">
        <v>9032</v>
      </c>
      <c r="B491" t="s">
        <v>172</v>
      </c>
      <c r="C491">
        <v>1656</v>
      </c>
      <c r="D491" s="3" t="s">
        <v>256</v>
      </c>
      <c r="E491" t="s">
        <v>43</v>
      </c>
    </row>
    <row r="492" spans="1:5" x14ac:dyDescent="0.25">
      <c r="A492">
        <v>9053</v>
      </c>
      <c r="B492" t="s">
        <v>44</v>
      </c>
      <c r="C492">
        <v>2240</v>
      </c>
      <c r="D492" s="3" t="s">
        <v>252</v>
      </c>
      <c r="E492" t="s">
        <v>45</v>
      </c>
    </row>
    <row r="493" spans="1:5" x14ac:dyDescent="0.25">
      <c r="A493">
        <v>9064</v>
      </c>
      <c r="B493" t="s">
        <v>46</v>
      </c>
      <c r="C493">
        <v>2520</v>
      </c>
      <c r="D493" s="3" t="s">
        <v>253</v>
      </c>
      <c r="E493" t="s">
        <v>45</v>
      </c>
    </row>
    <row r="494" spans="1:5" x14ac:dyDescent="0.25">
      <c r="A494">
        <v>9064</v>
      </c>
      <c r="B494" t="s">
        <v>46</v>
      </c>
      <c r="C494">
        <v>2940</v>
      </c>
      <c r="D494" s="3" t="s">
        <v>254</v>
      </c>
      <c r="E494" t="s">
        <v>45</v>
      </c>
    </row>
    <row r="495" spans="1:5" x14ac:dyDescent="0.25">
      <c r="A495">
        <v>9064</v>
      </c>
      <c r="B495" t="s">
        <v>46</v>
      </c>
      <c r="C495">
        <v>2100</v>
      </c>
      <c r="D495" s="3" t="s">
        <v>255</v>
      </c>
      <c r="E495" t="s">
        <v>45</v>
      </c>
    </row>
    <row r="496" spans="1:5" x14ac:dyDescent="0.25">
      <c r="A496">
        <v>9188</v>
      </c>
      <c r="B496" t="s">
        <v>48</v>
      </c>
      <c r="C496">
        <v>1840</v>
      </c>
      <c r="D496" s="3" t="s">
        <v>256</v>
      </c>
      <c r="E496" t="s">
        <v>15</v>
      </c>
    </row>
    <row r="497" spans="1:5" x14ac:dyDescent="0.25">
      <c r="A497">
        <v>9229</v>
      </c>
      <c r="B497" t="s">
        <v>52</v>
      </c>
      <c r="C497">
        <v>280</v>
      </c>
      <c r="D497" s="3" t="s">
        <v>255</v>
      </c>
      <c r="E497" t="s">
        <v>28</v>
      </c>
    </row>
    <row r="498" spans="1:5" x14ac:dyDescent="0.25">
      <c r="A498">
        <v>9237</v>
      </c>
      <c r="B498" t="s">
        <v>53</v>
      </c>
      <c r="C498">
        <v>396</v>
      </c>
      <c r="D498" s="3" t="s">
        <v>256</v>
      </c>
      <c r="E498" t="s">
        <v>15</v>
      </c>
    </row>
    <row r="499" spans="1:5" x14ac:dyDescent="0.25">
      <c r="A499">
        <v>2283</v>
      </c>
      <c r="B499" t="s">
        <v>152</v>
      </c>
      <c r="C499">
        <v>2456</v>
      </c>
      <c r="D499" s="3" t="s">
        <v>257</v>
      </c>
      <c r="E499" t="s">
        <v>7</v>
      </c>
    </row>
    <row r="500" spans="1:5" x14ac:dyDescent="0.25">
      <c r="A500">
        <v>2283</v>
      </c>
      <c r="B500" t="s">
        <v>152</v>
      </c>
      <c r="C500">
        <v>1592</v>
      </c>
      <c r="D500" s="3" t="s">
        <v>258</v>
      </c>
      <c r="E500" t="s">
        <v>7</v>
      </c>
    </row>
    <row r="501" spans="1:5" x14ac:dyDescent="0.25">
      <c r="A501">
        <v>2553</v>
      </c>
      <c r="B501" t="s">
        <v>162</v>
      </c>
      <c r="C501">
        <v>720</v>
      </c>
      <c r="D501" s="3" t="s">
        <v>259</v>
      </c>
      <c r="E501" t="s">
        <v>7</v>
      </c>
    </row>
    <row r="502" spans="1:5" x14ac:dyDescent="0.25">
      <c r="A502">
        <v>2735</v>
      </c>
      <c r="B502" t="s">
        <v>13</v>
      </c>
      <c r="C502">
        <v>500</v>
      </c>
      <c r="D502" s="3" t="s">
        <v>260</v>
      </c>
      <c r="E502" t="s">
        <v>15</v>
      </c>
    </row>
    <row r="503" spans="1:5" x14ac:dyDescent="0.25">
      <c r="A503">
        <v>2736</v>
      </c>
      <c r="B503" t="s">
        <v>62</v>
      </c>
      <c r="C503">
        <v>4416</v>
      </c>
      <c r="D503" s="3" t="s">
        <v>259</v>
      </c>
      <c r="E503" t="s">
        <v>15</v>
      </c>
    </row>
    <row r="504" spans="1:5" x14ac:dyDescent="0.25">
      <c r="A504">
        <v>2736</v>
      </c>
      <c r="B504" t="s">
        <v>62</v>
      </c>
      <c r="C504">
        <v>960</v>
      </c>
      <c r="D504" s="3" t="s">
        <v>258</v>
      </c>
      <c r="E504" t="s">
        <v>15</v>
      </c>
    </row>
    <row r="505" spans="1:5" x14ac:dyDescent="0.25">
      <c r="A505">
        <v>2736</v>
      </c>
      <c r="B505" t="s">
        <v>62</v>
      </c>
      <c r="C505">
        <v>7212</v>
      </c>
      <c r="D505" s="3" t="s">
        <v>261</v>
      </c>
      <c r="E505" t="s">
        <v>15</v>
      </c>
    </row>
    <row r="506" spans="1:5" x14ac:dyDescent="0.25">
      <c r="A506">
        <v>2736</v>
      </c>
      <c r="B506" t="s">
        <v>62</v>
      </c>
      <c r="C506">
        <v>6720</v>
      </c>
      <c r="D506" s="3" t="s">
        <v>260</v>
      </c>
      <c r="E506" t="s">
        <v>15</v>
      </c>
    </row>
    <row r="507" spans="1:5" x14ac:dyDescent="0.25">
      <c r="A507">
        <v>2738</v>
      </c>
      <c r="B507" t="s">
        <v>16</v>
      </c>
      <c r="C507">
        <v>2880</v>
      </c>
      <c r="D507" s="3" t="s">
        <v>257</v>
      </c>
      <c r="E507" t="s">
        <v>15</v>
      </c>
    </row>
    <row r="508" spans="1:5" x14ac:dyDescent="0.25">
      <c r="A508">
        <v>2738</v>
      </c>
      <c r="B508" t="s">
        <v>16</v>
      </c>
      <c r="C508">
        <v>2880</v>
      </c>
      <c r="D508" s="3" t="s">
        <v>262</v>
      </c>
      <c r="E508" t="s">
        <v>15</v>
      </c>
    </row>
    <row r="509" spans="1:5" x14ac:dyDescent="0.25">
      <c r="A509">
        <v>2738</v>
      </c>
      <c r="B509" t="s">
        <v>16</v>
      </c>
      <c r="C509">
        <v>3600</v>
      </c>
      <c r="D509" s="3" t="s">
        <v>263</v>
      </c>
      <c r="E509" t="s">
        <v>15</v>
      </c>
    </row>
    <row r="510" spans="1:5" x14ac:dyDescent="0.25">
      <c r="A510">
        <v>2738</v>
      </c>
      <c r="B510" t="s">
        <v>16</v>
      </c>
      <c r="C510">
        <v>2880</v>
      </c>
      <c r="D510" s="3" t="s">
        <v>264</v>
      </c>
      <c r="E510" t="s">
        <v>15</v>
      </c>
    </row>
    <row r="511" spans="1:5" x14ac:dyDescent="0.25">
      <c r="A511">
        <v>2738</v>
      </c>
      <c r="B511" t="s">
        <v>16</v>
      </c>
      <c r="C511">
        <v>2880</v>
      </c>
      <c r="D511" s="3" t="s">
        <v>258</v>
      </c>
      <c r="E511" t="s">
        <v>15</v>
      </c>
    </row>
    <row r="512" spans="1:5" x14ac:dyDescent="0.25">
      <c r="A512">
        <v>2738</v>
      </c>
      <c r="B512" t="s">
        <v>16</v>
      </c>
      <c r="C512">
        <v>4020</v>
      </c>
      <c r="D512" s="3" t="s">
        <v>261</v>
      </c>
      <c r="E512" t="s">
        <v>15</v>
      </c>
    </row>
    <row r="513" spans="1:5" x14ac:dyDescent="0.25">
      <c r="A513">
        <v>4808</v>
      </c>
      <c r="B513" t="s">
        <v>241</v>
      </c>
      <c r="C513">
        <v>1680</v>
      </c>
      <c r="D513" s="3" t="s">
        <v>257</v>
      </c>
      <c r="E513" t="s">
        <v>25</v>
      </c>
    </row>
    <row r="514" spans="1:5" x14ac:dyDescent="0.25">
      <c r="A514">
        <v>4855</v>
      </c>
      <c r="B514" t="s">
        <v>242</v>
      </c>
      <c r="C514">
        <v>1864</v>
      </c>
      <c r="D514" s="3" t="s">
        <v>259</v>
      </c>
      <c r="E514" t="s">
        <v>25</v>
      </c>
    </row>
    <row r="515" spans="1:5" x14ac:dyDescent="0.25">
      <c r="A515">
        <v>9000</v>
      </c>
      <c r="B515" t="s">
        <v>27</v>
      </c>
      <c r="C515">
        <v>3240</v>
      </c>
      <c r="D515" s="3" t="s">
        <v>259</v>
      </c>
      <c r="E515" t="s">
        <v>28</v>
      </c>
    </row>
    <row r="516" spans="1:5" x14ac:dyDescent="0.25">
      <c r="A516">
        <v>9000</v>
      </c>
      <c r="B516" t="s">
        <v>27</v>
      </c>
      <c r="C516">
        <v>9720</v>
      </c>
      <c r="D516" s="3" t="s">
        <v>257</v>
      </c>
      <c r="E516" t="s">
        <v>28</v>
      </c>
    </row>
    <row r="517" spans="1:5" x14ac:dyDescent="0.25">
      <c r="A517">
        <v>9000</v>
      </c>
      <c r="B517" t="s">
        <v>27</v>
      </c>
      <c r="C517">
        <v>4320</v>
      </c>
      <c r="D517" s="3" t="s">
        <v>262</v>
      </c>
      <c r="E517" t="s">
        <v>28</v>
      </c>
    </row>
    <row r="518" spans="1:5" x14ac:dyDescent="0.25">
      <c r="A518">
        <v>9000</v>
      </c>
      <c r="B518" t="s">
        <v>27</v>
      </c>
      <c r="C518">
        <v>2160</v>
      </c>
      <c r="D518" s="3" t="s">
        <v>263</v>
      </c>
      <c r="E518" t="s">
        <v>28</v>
      </c>
    </row>
    <row r="519" spans="1:5" x14ac:dyDescent="0.25">
      <c r="A519">
        <v>9000</v>
      </c>
      <c r="B519" t="s">
        <v>27</v>
      </c>
      <c r="C519">
        <v>3888</v>
      </c>
      <c r="D519" s="3" t="s">
        <v>265</v>
      </c>
      <c r="E519" t="s">
        <v>28</v>
      </c>
    </row>
    <row r="520" spans="1:5" x14ac:dyDescent="0.25">
      <c r="A520">
        <v>9000</v>
      </c>
      <c r="B520" t="s">
        <v>27</v>
      </c>
      <c r="C520">
        <v>1944</v>
      </c>
      <c r="D520" s="3" t="s">
        <v>261</v>
      </c>
      <c r="E520" t="s">
        <v>28</v>
      </c>
    </row>
    <row r="521" spans="1:5" x14ac:dyDescent="0.25">
      <c r="A521">
        <v>9001</v>
      </c>
      <c r="B521" t="s">
        <v>29</v>
      </c>
      <c r="C521">
        <v>3240</v>
      </c>
      <c r="D521" s="3" t="s">
        <v>259</v>
      </c>
      <c r="E521" t="s">
        <v>28</v>
      </c>
    </row>
    <row r="522" spans="1:5" x14ac:dyDescent="0.25">
      <c r="A522">
        <v>9001</v>
      </c>
      <c r="B522" t="s">
        <v>29</v>
      </c>
      <c r="C522">
        <v>1512</v>
      </c>
      <c r="D522" s="3" t="s">
        <v>263</v>
      </c>
      <c r="E522" t="s">
        <v>28</v>
      </c>
    </row>
    <row r="523" spans="1:5" x14ac:dyDescent="0.25">
      <c r="A523">
        <v>9001</v>
      </c>
      <c r="B523" t="s">
        <v>29</v>
      </c>
      <c r="C523">
        <v>4968</v>
      </c>
      <c r="D523" s="3" t="s">
        <v>264</v>
      </c>
      <c r="E523" t="s">
        <v>28</v>
      </c>
    </row>
    <row r="524" spans="1:5" x14ac:dyDescent="0.25">
      <c r="A524">
        <v>9001</v>
      </c>
      <c r="B524" t="s">
        <v>29</v>
      </c>
      <c r="C524">
        <v>3204</v>
      </c>
      <c r="D524" s="3" t="s">
        <v>265</v>
      </c>
      <c r="E524" t="s">
        <v>28</v>
      </c>
    </row>
    <row r="525" spans="1:5" x14ac:dyDescent="0.25">
      <c r="A525">
        <v>9001</v>
      </c>
      <c r="B525" t="s">
        <v>29</v>
      </c>
      <c r="C525">
        <v>5940</v>
      </c>
      <c r="D525" s="3" t="s">
        <v>261</v>
      </c>
      <c r="E525" t="s">
        <v>28</v>
      </c>
    </row>
    <row r="526" spans="1:5" x14ac:dyDescent="0.25">
      <c r="A526">
        <v>9001</v>
      </c>
      <c r="B526" t="s">
        <v>29</v>
      </c>
      <c r="C526">
        <v>6804</v>
      </c>
      <c r="D526" s="3" t="s">
        <v>260</v>
      </c>
      <c r="E526" t="s">
        <v>28</v>
      </c>
    </row>
    <row r="527" spans="1:5" x14ac:dyDescent="0.25">
      <c r="A527">
        <v>9002</v>
      </c>
      <c r="B527" t="s">
        <v>170</v>
      </c>
      <c r="C527">
        <v>2112</v>
      </c>
      <c r="D527" s="3" t="s">
        <v>257</v>
      </c>
      <c r="E527" t="s">
        <v>28</v>
      </c>
    </row>
    <row r="528" spans="1:5" x14ac:dyDescent="0.25">
      <c r="A528">
        <v>9003</v>
      </c>
      <c r="B528" t="s">
        <v>32</v>
      </c>
      <c r="C528">
        <v>4500</v>
      </c>
      <c r="D528" s="3" t="s">
        <v>259</v>
      </c>
      <c r="E528" t="s">
        <v>28</v>
      </c>
    </row>
    <row r="529" spans="1:5" x14ac:dyDescent="0.25">
      <c r="A529">
        <v>9003</v>
      </c>
      <c r="B529" t="s">
        <v>32</v>
      </c>
      <c r="C529">
        <v>1260</v>
      </c>
      <c r="D529" s="3" t="s">
        <v>257</v>
      </c>
      <c r="E529" t="s">
        <v>28</v>
      </c>
    </row>
    <row r="530" spans="1:5" x14ac:dyDescent="0.25">
      <c r="A530">
        <v>9003</v>
      </c>
      <c r="B530" t="s">
        <v>32</v>
      </c>
      <c r="C530">
        <v>828</v>
      </c>
      <c r="D530" s="3" t="s">
        <v>262</v>
      </c>
      <c r="E530" t="s">
        <v>28</v>
      </c>
    </row>
    <row r="531" spans="1:5" x14ac:dyDescent="0.25">
      <c r="A531">
        <v>9003</v>
      </c>
      <c r="B531" t="s">
        <v>32</v>
      </c>
      <c r="C531">
        <v>4896</v>
      </c>
      <c r="D531" s="3" t="s">
        <v>263</v>
      </c>
      <c r="E531" t="s">
        <v>28</v>
      </c>
    </row>
    <row r="532" spans="1:5" x14ac:dyDescent="0.25">
      <c r="A532">
        <v>9003</v>
      </c>
      <c r="B532" t="s">
        <v>32</v>
      </c>
      <c r="C532">
        <v>2376</v>
      </c>
      <c r="D532" s="3" t="s">
        <v>264</v>
      </c>
      <c r="E532" t="s">
        <v>28</v>
      </c>
    </row>
    <row r="533" spans="1:5" x14ac:dyDescent="0.25">
      <c r="A533">
        <v>9003</v>
      </c>
      <c r="B533" t="s">
        <v>32</v>
      </c>
      <c r="C533">
        <v>2088</v>
      </c>
      <c r="D533" s="3" t="s">
        <v>261</v>
      </c>
      <c r="E533" t="s">
        <v>28</v>
      </c>
    </row>
    <row r="534" spans="1:5" x14ac:dyDescent="0.25">
      <c r="A534">
        <v>9004</v>
      </c>
      <c r="B534" t="s">
        <v>33</v>
      </c>
      <c r="C534">
        <v>648</v>
      </c>
      <c r="D534" s="3" t="s">
        <v>262</v>
      </c>
      <c r="E534" t="s">
        <v>28</v>
      </c>
    </row>
    <row r="535" spans="1:5" x14ac:dyDescent="0.25">
      <c r="A535">
        <v>9004</v>
      </c>
      <c r="B535" t="s">
        <v>33</v>
      </c>
      <c r="C535">
        <v>2304</v>
      </c>
      <c r="D535" s="3" t="s">
        <v>263</v>
      </c>
      <c r="E535" t="s">
        <v>28</v>
      </c>
    </row>
    <row r="536" spans="1:5" x14ac:dyDescent="0.25">
      <c r="A536">
        <v>9004</v>
      </c>
      <c r="B536" t="s">
        <v>33</v>
      </c>
      <c r="C536">
        <v>1620</v>
      </c>
      <c r="D536" s="3" t="s">
        <v>264</v>
      </c>
      <c r="E536" t="s">
        <v>28</v>
      </c>
    </row>
    <row r="537" spans="1:5" x14ac:dyDescent="0.25">
      <c r="A537">
        <v>9004</v>
      </c>
      <c r="B537" t="s">
        <v>33</v>
      </c>
      <c r="C537">
        <v>1224</v>
      </c>
      <c r="D537" s="3" t="s">
        <v>265</v>
      </c>
      <c r="E537" t="s">
        <v>28</v>
      </c>
    </row>
    <row r="538" spans="1:5" x14ac:dyDescent="0.25">
      <c r="A538">
        <v>9005</v>
      </c>
      <c r="B538" t="s">
        <v>34</v>
      </c>
      <c r="C538">
        <v>648</v>
      </c>
      <c r="D538" s="3" t="s">
        <v>260</v>
      </c>
      <c r="E538" t="s">
        <v>28</v>
      </c>
    </row>
    <row r="539" spans="1:5" x14ac:dyDescent="0.25">
      <c r="A539">
        <v>9011</v>
      </c>
      <c r="B539" t="s">
        <v>78</v>
      </c>
      <c r="C539">
        <v>684</v>
      </c>
      <c r="D539" s="3" t="s">
        <v>265</v>
      </c>
      <c r="E539" t="s">
        <v>28</v>
      </c>
    </row>
    <row r="540" spans="1:5" x14ac:dyDescent="0.25">
      <c r="A540">
        <v>9013</v>
      </c>
      <c r="B540" t="s">
        <v>35</v>
      </c>
      <c r="C540">
        <v>5868</v>
      </c>
      <c r="D540" s="3" t="s">
        <v>262</v>
      </c>
      <c r="E540" t="s">
        <v>28</v>
      </c>
    </row>
    <row r="541" spans="1:5" x14ac:dyDescent="0.25">
      <c r="A541">
        <v>9014</v>
      </c>
      <c r="B541" t="s">
        <v>185</v>
      </c>
      <c r="C541">
        <v>684</v>
      </c>
      <c r="D541" s="3" t="s">
        <v>265</v>
      </c>
      <c r="E541" t="s">
        <v>28</v>
      </c>
    </row>
    <row r="542" spans="1:5" x14ac:dyDescent="0.25">
      <c r="A542">
        <v>9019</v>
      </c>
      <c r="B542" t="s">
        <v>37</v>
      </c>
      <c r="C542">
        <v>2664</v>
      </c>
      <c r="D542" s="3" t="s">
        <v>264</v>
      </c>
      <c r="E542" t="s">
        <v>28</v>
      </c>
    </row>
    <row r="543" spans="1:5" x14ac:dyDescent="0.25">
      <c r="A543">
        <v>9019</v>
      </c>
      <c r="B543" t="s">
        <v>37</v>
      </c>
      <c r="C543">
        <v>2556</v>
      </c>
      <c r="D543" s="3" t="s">
        <v>260</v>
      </c>
      <c r="E543" t="s">
        <v>28</v>
      </c>
    </row>
    <row r="544" spans="1:5" x14ac:dyDescent="0.25">
      <c r="A544">
        <v>9021</v>
      </c>
      <c r="B544" t="s">
        <v>38</v>
      </c>
      <c r="C544">
        <v>936</v>
      </c>
      <c r="D544" s="3" t="s">
        <v>261</v>
      </c>
      <c r="E544" t="s">
        <v>28</v>
      </c>
    </row>
    <row r="545" spans="1:5" x14ac:dyDescent="0.25">
      <c r="A545">
        <v>9029</v>
      </c>
      <c r="B545" t="s">
        <v>41</v>
      </c>
      <c r="C545">
        <v>756</v>
      </c>
      <c r="D545" s="3" t="s">
        <v>264</v>
      </c>
      <c r="E545" t="s">
        <v>28</v>
      </c>
    </row>
    <row r="546" spans="1:5" x14ac:dyDescent="0.25">
      <c r="A546">
        <v>9029</v>
      </c>
      <c r="B546" t="s">
        <v>41</v>
      </c>
      <c r="C546">
        <v>684</v>
      </c>
      <c r="D546" s="3" t="s">
        <v>260</v>
      </c>
      <c r="E546" t="s">
        <v>28</v>
      </c>
    </row>
    <row r="547" spans="1:5" x14ac:dyDescent="0.25">
      <c r="A547">
        <v>9031</v>
      </c>
      <c r="B547" t="s">
        <v>42</v>
      </c>
      <c r="C547">
        <v>5184</v>
      </c>
      <c r="D547" s="3" t="s">
        <v>258</v>
      </c>
      <c r="E547" t="s">
        <v>43</v>
      </c>
    </row>
    <row r="548" spans="1:5" x14ac:dyDescent="0.25">
      <c r="A548">
        <v>9036</v>
      </c>
      <c r="B548" t="s">
        <v>120</v>
      </c>
      <c r="C548">
        <v>672</v>
      </c>
      <c r="D548" s="3" t="s">
        <v>261</v>
      </c>
      <c r="E548" t="s">
        <v>15</v>
      </c>
    </row>
    <row r="549" spans="1:5" x14ac:dyDescent="0.25">
      <c r="A549">
        <v>9053</v>
      </c>
      <c r="B549" t="s">
        <v>44</v>
      </c>
      <c r="C549">
        <v>770</v>
      </c>
      <c r="D549" s="3" t="s">
        <v>262</v>
      </c>
      <c r="E549" t="s">
        <v>45</v>
      </c>
    </row>
    <row r="550" spans="1:5" x14ac:dyDescent="0.25">
      <c r="A550">
        <v>9053</v>
      </c>
      <c r="B550" t="s">
        <v>44</v>
      </c>
      <c r="C550">
        <v>1280</v>
      </c>
      <c r="D550" s="3" t="s">
        <v>263</v>
      </c>
      <c r="E550" t="s">
        <v>45</v>
      </c>
    </row>
    <row r="551" spans="1:5" x14ac:dyDescent="0.25">
      <c r="A551">
        <v>9053</v>
      </c>
      <c r="B551" t="s">
        <v>44</v>
      </c>
      <c r="C551">
        <v>1810</v>
      </c>
      <c r="D551" s="3" t="s">
        <v>264</v>
      </c>
      <c r="E551" t="s">
        <v>45</v>
      </c>
    </row>
    <row r="552" spans="1:5" x14ac:dyDescent="0.25">
      <c r="A552">
        <v>9053</v>
      </c>
      <c r="B552" t="s">
        <v>44</v>
      </c>
      <c r="C552">
        <v>1110</v>
      </c>
      <c r="D552" s="3" t="s">
        <v>258</v>
      </c>
      <c r="E552" t="s">
        <v>45</v>
      </c>
    </row>
    <row r="553" spans="1:5" x14ac:dyDescent="0.25">
      <c r="A553">
        <v>9053</v>
      </c>
      <c r="B553" t="s">
        <v>44</v>
      </c>
      <c r="C553">
        <v>1870</v>
      </c>
      <c r="D553" s="3" t="s">
        <v>265</v>
      </c>
      <c r="E553" t="s">
        <v>45</v>
      </c>
    </row>
    <row r="554" spans="1:5" x14ac:dyDescent="0.25">
      <c r="A554">
        <v>9188</v>
      </c>
      <c r="B554" t="s">
        <v>48</v>
      </c>
      <c r="C554">
        <v>1550</v>
      </c>
      <c r="D554" s="3" t="s">
        <v>262</v>
      </c>
      <c r="E554" t="s">
        <v>15</v>
      </c>
    </row>
    <row r="555" spans="1:5" x14ac:dyDescent="0.25">
      <c r="A555">
        <v>9211</v>
      </c>
      <c r="B555" t="s">
        <v>51</v>
      </c>
      <c r="C555">
        <v>1242</v>
      </c>
      <c r="D555" s="3" t="s">
        <v>262</v>
      </c>
      <c r="E555" t="s">
        <v>28</v>
      </c>
    </row>
    <row r="556" spans="1:5" x14ac:dyDescent="0.25">
      <c r="A556">
        <v>9211</v>
      </c>
      <c r="B556" t="s">
        <v>51</v>
      </c>
      <c r="C556">
        <v>832</v>
      </c>
      <c r="D556" s="3" t="s">
        <v>263</v>
      </c>
      <c r="E556" t="s">
        <v>28</v>
      </c>
    </row>
    <row r="557" spans="1:5" x14ac:dyDescent="0.25">
      <c r="A557">
        <v>9235</v>
      </c>
      <c r="B557" t="s">
        <v>85</v>
      </c>
      <c r="C557">
        <v>216</v>
      </c>
      <c r="D557" s="3" t="s">
        <v>262</v>
      </c>
      <c r="E557" t="s">
        <v>15</v>
      </c>
    </row>
    <row r="558" spans="1:5" x14ac:dyDescent="0.25">
      <c r="A558">
        <v>9237</v>
      </c>
      <c r="B558" t="s">
        <v>53</v>
      </c>
      <c r="C558">
        <v>720</v>
      </c>
      <c r="D558" s="3" t="s">
        <v>265</v>
      </c>
      <c r="E558" t="s">
        <v>15</v>
      </c>
    </row>
    <row r="559" spans="1:5" x14ac:dyDescent="0.25">
      <c r="A559">
        <v>9237</v>
      </c>
      <c r="B559" t="s">
        <v>53</v>
      </c>
      <c r="C559">
        <v>576</v>
      </c>
      <c r="D559" s="3" t="s">
        <v>260</v>
      </c>
      <c r="E559" t="s">
        <v>15</v>
      </c>
    </row>
    <row r="560" spans="1:5" x14ac:dyDescent="0.25">
      <c r="A560">
        <v>2283</v>
      </c>
      <c r="B560" t="s">
        <v>152</v>
      </c>
      <c r="C560">
        <v>568</v>
      </c>
      <c r="D560" s="3" t="s">
        <v>266</v>
      </c>
      <c r="E560" t="s">
        <v>7</v>
      </c>
    </row>
    <row r="561" spans="1:5" x14ac:dyDescent="0.25">
      <c r="A561">
        <v>2543</v>
      </c>
      <c r="B561" t="s">
        <v>161</v>
      </c>
      <c r="C561">
        <v>808</v>
      </c>
      <c r="D561" s="3" t="s">
        <v>266</v>
      </c>
      <c r="E561" t="s">
        <v>7</v>
      </c>
    </row>
    <row r="562" spans="1:5" x14ac:dyDescent="0.25">
      <c r="A562">
        <v>2735</v>
      </c>
      <c r="B562" t="s">
        <v>13</v>
      </c>
      <c r="C562">
        <v>1830</v>
      </c>
      <c r="D562" s="3" t="s">
        <v>267</v>
      </c>
      <c r="E562" t="s">
        <v>15</v>
      </c>
    </row>
    <row r="563" spans="1:5" x14ac:dyDescent="0.25">
      <c r="A563">
        <v>2735</v>
      </c>
      <c r="B563" t="s">
        <v>13</v>
      </c>
      <c r="C563">
        <v>250</v>
      </c>
      <c r="D563" s="3" t="s">
        <v>268</v>
      </c>
      <c r="E563" t="s">
        <v>15</v>
      </c>
    </row>
    <row r="564" spans="1:5" x14ac:dyDescent="0.25">
      <c r="A564">
        <v>2736</v>
      </c>
      <c r="B564" t="s">
        <v>62</v>
      </c>
      <c r="C564">
        <v>960</v>
      </c>
      <c r="D564" s="3" t="s">
        <v>269</v>
      </c>
      <c r="E564" t="s">
        <v>15</v>
      </c>
    </row>
    <row r="565" spans="1:5" x14ac:dyDescent="0.25">
      <c r="A565">
        <v>2736</v>
      </c>
      <c r="B565" t="s">
        <v>62</v>
      </c>
      <c r="C565">
        <v>4212</v>
      </c>
      <c r="D565" s="3" t="s">
        <v>268</v>
      </c>
      <c r="E565" t="s">
        <v>15</v>
      </c>
    </row>
    <row r="566" spans="1:5" x14ac:dyDescent="0.25">
      <c r="A566">
        <v>2737</v>
      </c>
      <c r="B566" t="s">
        <v>134</v>
      </c>
      <c r="C566">
        <v>1440</v>
      </c>
      <c r="D566" s="3" t="s">
        <v>270</v>
      </c>
      <c r="E566" t="s">
        <v>15</v>
      </c>
    </row>
    <row r="567" spans="1:5" x14ac:dyDescent="0.25">
      <c r="A567">
        <v>2738</v>
      </c>
      <c r="B567" t="s">
        <v>16</v>
      </c>
      <c r="C567">
        <v>5760</v>
      </c>
      <c r="D567" s="3" t="s">
        <v>269</v>
      </c>
      <c r="E567" t="s">
        <v>15</v>
      </c>
    </row>
    <row r="568" spans="1:5" x14ac:dyDescent="0.25">
      <c r="A568">
        <v>2738</v>
      </c>
      <c r="B568" t="s">
        <v>16</v>
      </c>
      <c r="C568">
        <v>2880</v>
      </c>
      <c r="D568" s="3" t="s">
        <v>270</v>
      </c>
      <c r="E568" t="s">
        <v>15</v>
      </c>
    </row>
    <row r="569" spans="1:5" x14ac:dyDescent="0.25">
      <c r="A569">
        <v>2738</v>
      </c>
      <c r="B569" t="s">
        <v>16</v>
      </c>
      <c r="C569">
        <v>4320</v>
      </c>
      <c r="D569" s="3" t="s">
        <v>271</v>
      </c>
      <c r="E569" t="s">
        <v>15</v>
      </c>
    </row>
    <row r="570" spans="1:5" x14ac:dyDescent="0.25">
      <c r="A570">
        <v>4808</v>
      </c>
      <c r="B570" t="s">
        <v>241</v>
      </c>
      <c r="C570">
        <v>2408</v>
      </c>
      <c r="D570" s="3" t="s">
        <v>266</v>
      </c>
      <c r="E570" t="s">
        <v>25</v>
      </c>
    </row>
    <row r="571" spans="1:5" x14ac:dyDescent="0.25">
      <c r="A571">
        <v>9001</v>
      </c>
      <c r="B571" t="s">
        <v>29</v>
      </c>
      <c r="C571">
        <v>4896</v>
      </c>
      <c r="D571" s="3" t="s">
        <v>266</v>
      </c>
      <c r="E571" t="s">
        <v>28</v>
      </c>
    </row>
    <row r="572" spans="1:5" x14ac:dyDescent="0.25">
      <c r="A572">
        <v>9001</v>
      </c>
      <c r="B572" t="s">
        <v>29</v>
      </c>
      <c r="C572">
        <v>8784</v>
      </c>
      <c r="D572" s="3" t="s">
        <v>270</v>
      </c>
      <c r="E572" t="s">
        <v>28</v>
      </c>
    </row>
    <row r="573" spans="1:5" x14ac:dyDescent="0.25">
      <c r="A573">
        <v>9001</v>
      </c>
      <c r="B573" t="s">
        <v>29</v>
      </c>
      <c r="C573">
        <v>2664</v>
      </c>
      <c r="D573" s="3" t="s">
        <v>268</v>
      </c>
      <c r="E573" t="s">
        <v>28</v>
      </c>
    </row>
    <row r="574" spans="1:5" x14ac:dyDescent="0.25">
      <c r="A574">
        <v>9003</v>
      </c>
      <c r="B574" t="s">
        <v>32</v>
      </c>
      <c r="C574">
        <v>3996</v>
      </c>
      <c r="D574" s="3" t="s">
        <v>266</v>
      </c>
      <c r="E574" t="s">
        <v>28</v>
      </c>
    </row>
    <row r="575" spans="1:5" x14ac:dyDescent="0.25">
      <c r="A575">
        <v>9003</v>
      </c>
      <c r="B575" t="s">
        <v>32</v>
      </c>
      <c r="C575">
        <v>792</v>
      </c>
      <c r="D575" s="3" t="s">
        <v>268</v>
      </c>
      <c r="E575" t="s">
        <v>28</v>
      </c>
    </row>
    <row r="576" spans="1:5" x14ac:dyDescent="0.25">
      <c r="A576">
        <v>9003</v>
      </c>
      <c r="B576" t="s">
        <v>32</v>
      </c>
      <c r="C576">
        <v>792</v>
      </c>
      <c r="D576" s="3" t="s">
        <v>259</v>
      </c>
      <c r="E576" t="s">
        <v>28</v>
      </c>
    </row>
    <row r="577" spans="1:5" x14ac:dyDescent="0.25">
      <c r="A577">
        <v>9004</v>
      </c>
      <c r="B577" t="s">
        <v>33</v>
      </c>
      <c r="C577">
        <v>3024</v>
      </c>
      <c r="D577" s="3" t="s">
        <v>268</v>
      </c>
      <c r="E577" t="s">
        <v>28</v>
      </c>
    </row>
    <row r="578" spans="1:5" x14ac:dyDescent="0.25">
      <c r="A578">
        <v>9013</v>
      </c>
      <c r="B578" t="s">
        <v>35</v>
      </c>
      <c r="C578">
        <v>4608</v>
      </c>
      <c r="D578" s="3" t="s">
        <v>266</v>
      </c>
      <c r="E578" t="s">
        <v>28</v>
      </c>
    </row>
    <row r="579" spans="1:5" x14ac:dyDescent="0.25">
      <c r="A579">
        <v>9023</v>
      </c>
      <c r="B579" t="s">
        <v>192</v>
      </c>
      <c r="C579">
        <v>2808</v>
      </c>
      <c r="D579" s="3" t="s">
        <v>268</v>
      </c>
      <c r="E579" t="s">
        <v>28</v>
      </c>
    </row>
    <row r="580" spans="1:5" x14ac:dyDescent="0.25">
      <c r="A580">
        <v>9024</v>
      </c>
      <c r="B580" t="s">
        <v>146</v>
      </c>
      <c r="C580">
        <v>1080</v>
      </c>
      <c r="D580" s="3" t="s">
        <v>268</v>
      </c>
      <c r="E580" t="s">
        <v>28</v>
      </c>
    </row>
    <row r="581" spans="1:5" x14ac:dyDescent="0.25">
      <c r="A581">
        <v>9026</v>
      </c>
      <c r="B581" t="s">
        <v>80</v>
      </c>
      <c r="C581">
        <v>3600</v>
      </c>
      <c r="D581" s="3" t="s">
        <v>270</v>
      </c>
      <c r="E581" t="s">
        <v>28</v>
      </c>
    </row>
    <row r="582" spans="1:5" x14ac:dyDescent="0.25">
      <c r="A582">
        <v>9029</v>
      </c>
      <c r="B582" t="s">
        <v>41</v>
      </c>
      <c r="C582">
        <v>1224</v>
      </c>
      <c r="D582" s="3" t="s">
        <v>268</v>
      </c>
      <c r="E582" t="s">
        <v>28</v>
      </c>
    </row>
    <row r="583" spans="1:5" x14ac:dyDescent="0.25">
      <c r="A583">
        <v>9036</v>
      </c>
      <c r="B583" t="s">
        <v>120</v>
      </c>
      <c r="C583">
        <v>208</v>
      </c>
      <c r="D583" s="3" t="s">
        <v>268</v>
      </c>
      <c r="E583" t="s">
        <v>15</v>
      </c>
    </row>
    <row r="584" spans="1:5" x14ac:dyDescent="0.25">
      <c r="A584">
        <v>9041</v>
      </c>
      <c r="B584" t="s">
        <v>272</v>
      </c>
      <c r="C584">
        <v>220</v>
      </c>
      <c r="D584" s="3" t="s">
        <v>267</v>
      </c>
      <c r="E584" t="s">
        <v>174</v>
      </c>
    </row>
    <row r="585" spans="1:5" x14ac:dyDescent="0.25">
      <c r="A585">
        <v>9053</v>
      </c>
      <c r="B585" t="s">
        <v>44</v>
      </c>
      <c r="C585">
        <v>2560</v>
      </c>
      <c r="D585" s="3" t="s">
        <v>266</v>
      </c>
      <c r="E585" t="s">
        <v>45</v>
      </c>
    </row>
    <row r="586" spans="1:5" x14ac:dyDescent="0.25">
      <c r="A586">
        <v>9053</v>
      </c>
      <c r="B586" t="s">
        <v>44</v>
      </c>
      <c r="C586">
        <v>1970</v>
      </c>
      <c r="D586" s="3" t="s">
        <v>270</v>
      </c>
      <c r="E586" t="s">
        <v>45</v>
      </c>
    </row>
    <row r="587" spans="1:5" x14ac:dyDescent="0.25">
      <c r="A587">
        <v>9053</v>
      </c>
      <c r="B587" t="s">
        <v>44</v>
      </c>
      <c r="C587">
        <v>1280</v>
      </c>
      <c r="D587" s="3" t="s">
        <v>271</v>
      </c>
      <c r="E587" t="s">
        <v>45</v>
      </c>
    </row>
    <row r="588" spans="1:5" x14ac:dyDescent="0.25">
      <c r="A588">
        <v>9201</v>
      </c>
      <c r="B588" t="s">
        <v>50</v>
      </c>
      <c r="C588">
        <v>7550</v>
      </c>
      <c r="D588" s="3" t="s">
        <v>267</v>
      </c>
      <c r="E588" t="s">
        <v>15</v>
      </c>
    </row>
    <row r="589" spans="1:5" x14ac:dyDescent="0.25">
      <c r="A589">
        <v>9201</v>
      </c>
      <c r="B589" t="s">
        <v>50</v>
      </c>
      <c r="C589">
        <v>960</v>
      </c>
      <c r="D589" s="3" t="s">
        <v>268</v>
      </c>
      <c r="E589" t="s">
        <v>15</v>
      </c>
    </row>
    <row r="590" spans="1:5" x14ac:dyDescent="0.25">
      <c r="A590">
        <v>9211</v>
      </c>
      <c r="B590" t="s">
        <v>51</v>
      </c>
      <c r="C590">
        <v>1782</v>
      </c>
      <c r="D590" s="3" t="s">
        <v>269</v>
      </c>
      <c r="E590" t="s">
        <v>28</v>
      </c>
    </row>
    <row r="591" spans="1:5" x14ac:dyDescent="0.25">
      <c r="A591">
        <v>9214</v>
      </c>
      <c r="B591" t="s">
        <v>247</v>
      </c>
      <c r="C591">
        <v>1800</v>
      </c>
      <c r="D591" s="3" t="s">
        <v>268</v>
      </c>
      <c r="E591" t="s">
        <v>15</v>
      </c>
    </row>
    <row r="592" spans="1:5" x14ac:dyDescent="0.25">
      <c r="A592">
        <v>9229</v>
      </c>
      <c r="B592" t="s">
        <v>52</v>
      </c>
      <c r="C592">
        <v>416</v>
      </c>
      <c r="D592" s="3" t="s">
        <v>269</v>
      </c>
      <c r="E592" t="s">
        <v>28</v>
      </c>
    </row>
    <row r="593" spans="1:5" x14ac:dyDescent="0.25">
      <c r="A593">
        <v>9237</v>
      </c>
      <c r="B593" t="s">
        <v>53</v>
      </c>
      <c r="C593">
        <v>828</v>
      </c>
      <c r="D593" s="3" t="s">
        <v>269</v>
      </c>
      <c r="E593" t="s">
        <v>15</v>
      </c>
    </row>
    <row r="594" spans="1:5" x14ac:dyDescent="0.25">
      <c r="A594">
        <v>2283</v>
      </c>
      <c r="B594" t="s">
        <v>152</v>
      </c>
      <c r="C594">
        <v>1624</v>
      </c>
      <c r="D594" s="3" t="s">
        <v>273</v>
      </c>
      <c r="E594" t="s">
        <v>7</v>
      </c>
    </row>
    <row r="595" spans="1:5" x14ac:dyDescent="0.25">
      <c r="A595">
        <v>2283</v>
      </c>
      <c r="B595" t="s">
        <v>152</v>
      </c>
      <c r="C595">
        <v>2312</v>
      </c>
      <c r="D595" s="3" t="s">
        <v>274</v>
      </c>
      <c r="E595" t="s">
        <v>7</v>
      </c>
    </row>
    <row r="596" spans="1:5" x14ac:dyDescent="0.25">
      <c r="A596">
        <v>2283</v>
      </c>
      <c r="B596" t="s">
        <v>152</v>
      </c>
      <c r="C596">
        <v>1120</v>
      </c>
      <c r="D596" s="3" t="s">
        <v>275</v>
      </c>
      <c r="E596" t="s">
        <v>7</v>
      </c>
    </row>
    <row r="597" spans="1:5" x14ac:dyDescent="0.25">
      <c r="A597">
        <v>2543</v>
      </c>
      <c r="B597" t="s">
        <v>161</v>
      </c>
      <c r="C597">
        <v>2744</v>
      </c>
      <c r="D597" s="3" t="s">
        <v>273</v>
      </c>
      <c r="E597" t="s">
        <v>7</v>
      </c>
    </row>
    <row r="598" spans="1:5" x14ac:dyDescent="0.25">
      <c r="A598">
        <v>2543</v>
      </c>
      <c r="B598" t="s">
        <v>161</v>
      </c>
      <c r="C598">
        <v>1120</v>
      </c>
      <c r="D598" s="3" t="s">
        <v>276</v>
      </c>
      <c r="E598" t="s">
        <v>7</v>
      </c>
    </row>
    <row r="599" spans="1:5" x14ac:dyDescent="0.25">
      <c r="A599">
        <v>2553</v>
      </c>
      <c r="B599" t="s">
        <v>162</v>
      </c>
      <c r="C599">
        <v>1320</v>
      </c>
      <c r="D599" s="3" t="s">
        <v>277</v>
      </c>
      <c r="E599" t="s">
        <v>7</v>
      </c>
    </row>
    <row r="600" spans="1:5" x14ac:dyDescent="0.25">
      <c r="A600">
        <v>2553</v>
      </c>
      <c r="B600" t="s">
        <v>162</v>
      </c>
      <c r="C600">
        <v>1620</v>
      </c>
      <c r="D600" s="3" t="s">
        <v>278</v>
      </c>
      <c r="E600" t="s">
        <v>7</v>
      </c>
    </row>
    <row r="601" spans="1:5" x14ac:dyDescent="0.25">
      <c r="A601">
        <v>2735</v>
      </c>
      <c r="B601" t="s">
        <v>13</v>
      </c>
      <c r="C601">
        <v>2620</v>
      </c>
      <c r="D601" s="3" t="s">
        <v>279</v>
      </c>
      <c r="E601" t="s">
        <v>15</v>
      </c>
    </row>
    <row r="602" spans="1:5" x14ac:dyDescent="0.25">
      <c r="A602">
        <v>2736</v>
      </c>
      <c r="B602" t="s">
        <v>62</v>
      </c>
      <c r="C602">
        <v>5760</v>
      </c>
      <c r="D602" s="3" t="s">
        <v>279</v>
      </c>
      <c r="E602" t="s">
        <v>15</v>
      </c>
    </row>
    <row r="603" spans="1:5" x14ac:dyDescent="0.25">
      <c r="A603">
        <v>2737</v>
      </c>
      <c r="B603" t="s">
        <v>134</v>
      </c>
      <c r="C603">
        <v>660</v>
      </c>
      <c r="D603" s="3" t="s">
        <v>280</v>
      </c>
      <c r="E603" t="s">
        <v>15</v>
      </c>
    </row>
    <row r="604" spans="1:5" x14ac:dyDescent="0.25">
      <c r="A604">
        <v>2737</v>
      </c>
      <c r="B604" t="s">
        <v>134</v>
      </c>
      <c r="C604">
        <v>1095</v>
      </c>
      <c r="D604" s="3" t="s">
        <v>280</v>
      </c>
      <c r="E604" t="s">
        <v>15</v>
      </c>
    </row>
    <row r="605" spans="1:5" x14ac:dyDescent="0.25">
      <c r="A605">
        <v>2738</v>
      </c>
      <c r="B605" t="s">
        <v>16</v>
      </c>
      <c r="C605">
        <v>720</v>
      </c>
      <c r="D605" s="3" t="s">
        <v>281</v>
      </c>
      <c r="E605" t="s">
        <v>15</v>
      </c>
    </row>
    <row r="606" spans="1:5" x14ac:dyDescent="0.25">
      <c r="A606">
        <v>2738</v>
      </c>
      <c r="B606" t="s">
        <v>16</v>
      </c>
      <c r="C606">
        <v>7920</v>
      </c>
      <c r="D606" s="3" t="s">
        <v>282</v>
      </c>
      <c r="E606" t="s">
        <v>15</v>
      </c>
    </row>
    <row r="607" spans="1:5" x14ac:dyDescent="0.25">
      <c r="A607">
        <v>2738</v>
      </c>
      <c r="B607" t="s">
        <v>16</v>
      </c>
      <c r="C607">
        <v>720</v>
      </c>
      <c r="D607" s="3" t="s">
        <v>273</v>
      </c>
      <c r="E607" t="s">
        <v>15</v>
      </c>
    </row>
    <row r="608" spans="1:5" x14ac:dyDescent="0.25">
      <c r="A608">
        <v>2738</v>
      </c>
      <c r="B608" t="s">
        <v>16</v>
      </c>
      <c r="C608">
        <v>9435</v>
      </c>
      <c r="D608" s="3" t="s">
        <v>283</v>
      </c>
      <c r="E608" t="s">
        <v>15</v>
      </c>
    </row>
    <row r="609" spans="1:5" x14ac:dyDescent="0.25">
      <c r="A609">
        <v>2738</v>
      </c>
      <c r="B609" t="s">
        <v>16</v>
      </c>
      <c r="C609">
        <v>2160</v>
      </c>
      <c r="D609" s="3" t="s">
        <v>284</v>
      </c>
      <c r="E609" t="s">
        <v>15</v>
      </c>
    </row>
    <row r="610" spans="1:5" x14ac:dyDescent="0.25">
      <c r="A610">
        <v>2738</v>
      </c>
      <c r="B610" t="s">
        <v>16</v>
      </c>
      <c r="C610">
        <v>3600</v>
      </c>
      <c r="D610" s="3" t="s">
        <v>285</v>
      </c>
      <c r="E610" t="s">
        <v>15</v>
      </c>
    </row>
    <row r="611" spans="1:5" x14ac:dyDescent="0.25">
      <c r="A611">
        <v>2738</v>
      </c>
      <c r="B611" t="s">
        <v>16</v>
      </c>
      <c r="C611">
        <v>5040</v>
      </c>
      <c r="D611" s="3" t="s">
        <v>286</v>
      </c>
      <c r="E611" t="s">
        <v>15</v>
      </c>
    </row>
    <row r="612" spans="1:5" x14ac:dyDescent="0.25">
      <c r="A612">
        <v>2738</v>
      </c>
      <c r="B612" t="s">
        <v>16</v>
      </c>
      <c r="C612">
        <v>7200</v>
      </c>
      <c r="D612" s="3" t="s">
        <v>280</v>
      </c>
      <c r="E612" t="s">
        <v>15</v>
      </c>
    </row>
    <row r="613" spans="1:5" x14ac:dyDescent="0.25">
      <c r="A613">
        <v>2738</v>
      </c>
      <c r="B613" t="s">
        <v>16</v>
      </c>
      <c r="C613">
        <v>5760</v>
      </c>
      <c r="D613" s="3" t="s">
        <v>274</v>
      </c>
      <c r="E613" t="s">
        <v>15</v>
      </c>
    </row>
    <row r="614" spans="1:5" x14ac:dyDescent="0.25">
      <c r="A614">
        <v>2738</v>
      </c>
      <c r="B614" t="s">
        <v>16</v>
      </c>
      <c r="C614">
        <v>4320</v>
      </c>
      <c r="D614" s="3" t="s">
        <v>287</v>
      </c>
      <c r="E614" t="s">
        <v>15</v>
      </c>
    </row>
    <row r="615" spans="1:5" x14ac:dyDescent="0.25">
      <c r="A615">
        <v>2738</v>
      </c>
      <c r="B615" t="s">
        <v>16</v>
      </c>
      <c r="C615">
        <v>2160</v>
      </c>
      <c r="D615" s="3" t="s">
        <v>288</v>
      </c>
      <c r="E615" t="s">
        <v>15</v>
      </c>
    </row>
    <row r="616" spans="1:5" x14ac:dyDescent="0.25">
      <c r="A616">
        <v>2738</v>
      </c>
      <c r="B616" t="s">
        <v>16</v>
      </c>
      <c r="C616">
        <v>105</v>
      </c>
      <c r="D616" s="3" t="s">
        <v>289</v>
      </c>
      <c r="E616" t="s">
        <v>15</v>
      </c>
    </row>
    <row r="617" spans="1:5" x14ac:dyDescent="0.25">
      <c r="A617">
        <v>2738</v>
      </c>
      <c r="B617" t="s">
        <v>16</v>
      </c>
      <c r="C617">
        <v>4320</v>
      </c>
      <c r="D617" s="3" t="s">
        <v>290</v>
      </c>
      <c r="E617" t="s">
        <v>15</v>
      </c>
    </row>
    <row r="618" spans="1:5" x14ac:dyDescent="0.25">
      <c r="A618">
        <v>2738</v>
      </c>
      <c r="B618" t="s">
        <v>16</v>
      </c>
      <c r="C618">
        <v>7200</v>
      </c>
      <c r="D618" s="3" t="s">
        <v>291</v>
      </c>
      <c r="E618" t="s">
        <v>15</v>
      </c>
    </row>
    <row r="619" spans="1:5" x14ac:dyDescent="0.25">
      <c r="A619">
        <v>2738</v>
      </c>
      <c r="B619" t="s">
        <v>16</v>
      </c>
      <c r="C619">
        <v>5760</v>
      </c>
      <c r="D619" s="3" t="s">
        <v>277</v>
      </c>
      <c r="E619" t="s">
        <v>15</v>
      </c>
    </row>
    <row r="620" spans="1:5" x14ac:dyDescent="0.25">
      <c r="A620">
        <v>2738</v>
      </c>
      <c r="B620" t="s">
        <v>16</v>
      </c>
      <c r="C620">
        <v>4320</v>
      </c>
      <c r="D620" s="3" t="s">
        <v>275</v>
      </c>
      <c r="E620" t="s">
        <v>15</v>
      </c>
    </row>
    <row r="621" spans="1:5" x14ac:dyDescent="0.25">
      <c r="A621">
        <v>2738</v>
      </c>
      <c r="B621" t="s">
        <v>16</v>
      </c>
      <c r="C621">
        <v>6480</v>
      </c>
      <c r="D621" s="3" t="s">
        <v>292</v>
      </c>
      <c r="E621" t="s">
        <v>15</v>
      </c>
    </row>
    <row r="622" spans="1:5" x14ac:dyDescent="0.25">
      <c r="A622">
        <v>2738</v>
      </c>
      <c r="B622" t="s">
        <v>16</v>
      </c>
      <c r="C622">
        <v>3600</v>
      </c>
      <c r="D622" s="3" t="s">
        <v>293</v>
      </c>
      <c r="E622" t="s">
        <v>15</v>
      </c>
    </row>
    <row r="623" spans="1:5" x14ac:dyDescent="0.25">
      <c r="A623">
        <v>4808</v>
      </c>
      <c r="B623" t="s">
        <v>241</v>
      </c>
      <c r="C623">
        <v>1768</v>
      </c>
      <c r="D623" s="3" t="s">
        <v>275</v>
      </c>
      <c r="E623" t="s">
        <v>25</v>
      </c>
    </row>
    <row r="624" spans="1:5" x14ac:dyDescent="0.25">
      <c r="A624">
        <v>4808</v>
      </c>
      <c r="B624" t="s">
        <v>241</v>
      </c>
      <c r="C624">
        <v>208</v>
      </c>
      <c r="D624" s="3" t="s">
        <v>275</v>
      </c>
      <c r="E624" t="s">
        <v>25</v>
      </c>
    </row>
    <row r="625" spans="1:5" x14ac:dyDescent="0.25">
      <c r="A625">
        <v>4808</v>
      </c>
      <c r="B625" t="s">
        <v>241</v>
      </c>
      <c r="C625">
        <v>3080</v>
      </c>
      <c r="D625" s="3" t="s">
        <v>294</v>
      </c>
      <c r="E625" t="s">
        <v>25</v>
      </c>
    </row>
    <row r="626" spans="1:5" x14ac:dyDescent="0.25">
      <c r="A626">
        <v>4855</v>
      </c>
      <c r="B626" t="s">
        <v>242</v>
      </c>
      <c r="C626">
        <v>832</v>
      </c>
      <c r="D626" s="3" t="s">
        <v>274</v>
      </c>
      <c r="E626" t="s">
        <v>25</v>
      </c>
    </row>
    <row r="627" spans="1:5" x14ac:dyDescent="0.25">
      <c r="A627">
        <v>4855</v>
      </c>
      <c r="B627" t="s">
        <v>242</v>
      </c>
      <c r="C627">
        <v>2272</v>
      </c>
      <c r="D627" s="3" t="s">
        <v>295</v>
      </c>
      <c r="E627" t="s">
        <v>25</v>
      </c>
    </row>
    <row r="628" spans="1:5" x14ac:dyDescent="0.25">
      <c r="A628">
        <v>4855</v>
      </c>
      <c r="B628" t="s">
        <v>242</v>
      </c>
      <c r="C628">
        <v>1704</v>
      </c>
      <c r="D628" s="3" t="s">
        <v>276</v>
      </c>
      <c r="E628" t="s">
        <v>25</v>
      </c>
    </row>
    <row r="629" spans="1:5" x14ac:dyDescent="0.25">
      <c r="A629">
        <v>4855</v>
      </c>
      <c r="B629" t="s">
        <v>242</v>
      </c>
      <c r="C629">
        <v>1584</v>
      </c>
      <c r="D629" s="3" t="s">
        <v>294</v>
      </c>
      <c r="E629" t="s">
        <v>25</v>
      </c>
    </row>
    <row r="630" spans="1:5" x14ac:dyDescent="0.25">
      <c r="A630">
        <v>4855</v>
      </c>
      <c r="B630" t="s">
        <v>242</v>
      </c>
      <c r="C630">
        <v>2240</v>
      </c>
      <c r="D630" s="3" t="s">
        <v>278</v>
      </c>
      <c r="E630" t="s">
        <v>25</v>
      </c>
    </row>
    <row r="631" spans="1:5" x14ac:dyDescent="0.25">
      <c r="A631">
        <v>9001</v>
      </c>
      <c r="B631" t="s">
        <v>29</v>
      </c>
      <c r="C631">
        <v>4644</v>
      </c>
      <c r="D631" s="3" t="s">
        <v>281</v>
      </c>
      <c r="E631" t="s">
        <v>28</v>
      </c>
    </row>
    <row r="632" spans="1:5" x14ac:dyDescent="0.25">
      <c r="A632">
        <v>9001</v>
      </c>
      <c r="B632" t="s">
        <v>29</v>
      </c>
      <c r="C632">
        <v>6804</v>
      </c>
      <c r="D632" s="3" t="s">
        <v>271</v>
      </c>
      <c r="E632" t="s">
        <v>28</v>
      </c>
    </row>
    <row r="633" spans="1:5" x14ac:dyDescent="0.25">
      <c r="A633">
        <v>9001</v>
      </c>
      <c r="B633" t="s">
        <v>29</v>
      </c>
      <c r="C633">
        <v>8424</v>
      </c>
      <c r="D633" s="3" t="s">
        <v>284</v>
      </c>
      <c r="E633" t="s">
        <v>28</v>
      </c>
    </row>
    <row r="634" spans="1:5" x14ac:dyDescent="0.25">
      <c r="A634">
        <v>9001</v>
      </c>
      <c r="B634" t="s">
        <v>29</v>
      </c>
      <c r="C634">
        <v>7848</v>
      </c>
      <c r="D634" s="3" t="s">
        <v>286</v>
      </c>
      <c r="E634" t="s">
        <v>28</v>
      </c>
    </row>
    <row r="635" spans="1:5" x14ac:dyDescent="0.25">
      <c r="A635">
        <v>9001</v>
      </c>
      <c r="B635" t="s">
        <v>29</v>
      </c>
      <c r="C635">
        <v>8352</v>
      </c>
      <c r="D635" s="3" t="s">
        <v>274</v>
      </c>
      <c r="E635" t="s">
        <v>28</v>
      </c>
    </row>
    <row r="636" spans="1:5" x14ac:dyDescent="0.25">
      <c r="A636">
        <v>9001</v>
      </c>
      <c r="B636" t="s">
        <v>29</v>
      </c>
      <c r="C636">
        <v>3240</v>
      </c>
      <c r="D636" s="3" t="s">
        <v>287</v>
      </c>
      <c r="E636" t="s">
        <v>28</v>
      </c>
    </row>
    <row r="637" spans="1:5" x14ac:dyDescent="0.25">
      <c r="A637">
        <v>9001</v>
      </c>
      <c r="B637" t="s">
        <v>29</v>
      </c>
      <c r="C637">
        <v>4356</v>
      </c>
      <c r="D637" s="3" t="s">
        <v>288</v>
      </c>
      <c r="E637" t="s">
        <v>28</v>
      </c>
    </row>
    <row r="638" spans="1:5" x14ac:dyDescent="0.25">
      <c r="A638">
        <v>9001</v>
      </c>
      <c r="B638" t="s">
        <v>29</v>
      </c>
      <c r="C638">
        <v>2304</v>
      </c>
      <c r="D638" s="3" t="s">
        <v>275</v>
      </c>
      <c r="E638" t="s">
        <v>28</v>
      </c>
    </row>
    <row r="639" spans="1:5" x14ac:dyDescent="0.25">
      <c r="A639">
        <v>9001</v>
      </c>
      <c r="B639" t="s">
        <v>29</v>
      </c>
      <c r="C639">
        <v>2304</v>
      </c>
      <c r="D639" s="3" t="s">
        <v>295</v>
      </c>
      <c r="E639" t="s">
        <v>28</v>
      </c>
    </row>
    <row r="640" spans="1:5" x14ac:dyDescent="0.25">
      <c r="A640">
        <v>9001</v>
      </c>
      <c r="B640" t="s">
        <v>29</v>
      </c>
      <c r="C640">
        <v>6048</v>
      </c>
      <c r="D640" s="3" t="s">
        <v>292</v>
      </c>
      <c r="E640" t="s">
        <v>28</v>
      </c>
    </row>
    <row r="641" spans="1:5" x14ac:dyDescent="0.25">
      <c r="A641">
        <v>9001</v>
      </c>
      <c r="B641" t="s">
        <v>29</v>
      </c>
      <c r="C641">
        <v>3888</v>
      </c>
      <c r="D641" s="3" t="s">
        <v>276</v>
      </c>
      <c r="E641" t="s">
        <v>28</v>
      </c>
    </row>
    <row r="642" spans="1:5" x14ac:dyDescent="0.25">
      <c r="A642">
        <v>9001</v>
      </c>
      <c r="B642" t="s">
        <v>29</v>
      </c>
      <c r="C642">
        <v>7992</v>
      </c>
      <c r="D642" s="3" t="s">
        <v>294</v>
      </c>
      <c r="E642" t="s">
        <v>28</v>
      </c>
    </row>
    <row r="643" spans="1:5" x14ac:dyDescent="0.25">
      <c r="A643">
        <v>9001</v>
      </c>
      <c r="B643" t="s">
        <v>29</v>
      </c>
      <c r="C643">
        <v>3168</v>
      </c>
      <c r="D643" s="3" t="s">
        <v>278</v>
      </c>
      <c r="E643" t="s">
        <v>28</v>
      </c>
    </row>
    <row r="644" spans="1:5" x14ac:dyDescent="0.25">
      <c r="A644">
        <v>9003</v>
      </c>
      <c r="B644" t="s">
        <v>32</v>
      </c>
      <c r="C644">
        <v>2304</v>
      </c>
      <c r="D644" s="3" t="s">
        <v>281</v>
      </c>
      <c r="E644" t="s">
        <v>28</v>
      </c>
    </row>
    <row r="645" spans="1:5" x14ac:dyDescent="0.25">
      <c r="A645">
        <v>9003</v>
      </c>
      <c r="B645" t="s">
        <v>32</v>
      </c>
      <c r="C645">
        <v>1728</v>
      </c>
      <c r="D645" s="3" t="s">
        <v>271</v>
      </c>
      <c r="E645" t="s">
        <v>28</v>
      </c>
    </row>
    <row r="646" spans="1:5" x14ac:dyDescent="0.25">
      <c r="A646">
        <v>9003</v>
      </c>
      <c r="B646" t="s">
        <v>32</v>
      </c>
      <c r="C646">
        <v>1692</v>
      </c>
      <c r="D646" s="3" t="s">
        <v>284</v>
      </c>
      <c r="E646" t="s">
        <v>28</v>
      </c>
    </row>
    <row r="647" spans="1:5" x14ac:dyDescent="0.25">
      <c r="A647">
        <v>9003</v>
      </c>
      <c r="B647" t="s">
        <v>32</v>
      </c>
      <c r="C647">
        <v>2160</v>
      </c>
      <c r="D647" s="3" t="s">
        <v>286</v>
      </c>
      <c r="E647" t="s">
        <v>28</v>
      </c>
    </row>
    <row r="648" spans="1:5" x14ac:dyDescent="0.25">
      <c r="A648">
        <v>9003</v>
      </c>
      <c r="B648" t="s">
        <v>32</v>
      </c>
      <c r="C648">
        <v>1728</v>
      </c>
      <c r="D648" s="3" t="s">
        <v>274</v>
      </c>
      <c r="E648" t="s">
        <v>28</v>
      </c>
    </row>
    <row r="649" spans="1:5" x14ac:dyDescent="0.25">
      <c r="A649">
        <v>9003</v>
      </c>
      <c r="B649" t="s">
        <v>32</v>
      </c>
      <c r="C649">
        <v>4788</v>
      </c>
      <c r="D649" s="3" t="s">
        <v>287</v>
      </c>
      <c r="E649" t="s">
        <v>28</v>
      </c>
    </row>
    <row r="650" spans="1:5" x14ac:dyDescent="0.25">
      <c r="A650">
        <v>9003</v>
      </c>
      <c r="B650" t="s">
        <v>32</v>
      </c>
      <c r="C650">
        <v>6912</v>
      </c>
      <c r="D650" s="3" t="s">
        <v>288</v>
      </c>
      <c r="E650" t="s">
        <v>28</v>
      </c>
    </row>
    <row r="651" spans="1:5" x14ac:dyDescent="0.25">
      <c r="A651">
        <v>9003</v>
      </c>
      <c r="B651" t="s">
        <v>32</v>
      </c>
      <c r="C651">
        <v>3132</v>
      </c>
      <c r="D651" s="3" t="s">
        <v>275</v>
      </c>
      <c r="E651" t="s">
        <v>28</v>
      </c>
    </row>
    <row r="652" spans="1:5" x14ac:dyDescent="0.25">
      <c r="A652">
        <v>9003</v>
      </c>
      <c r="B652" t="s">
        <v>32</v>
      </c>
      <c r="C652">
        <v>2520</v>
      </c>
      <c r="D652" s="3" t="s">
        <v>295</v>
      </c>
      <c r="E652" t="s">
        <v>28</v>
      </c>
    </row>
    <row r="653" spans="1:5" x14ac:dyDescent="0.25">
      <c r="A653">
        <v>9003</v>
      </c>
      <c r="B653" t="s">
        <v>32</v>
      </c>
      <c r="C653">
        <v>3960</v>
      </c>
      <c r="D653" s="3" t="s">
        <v>276</v>
      </c>
      <c r="E653" t="s">
        <v>28</v>
      </c>
    </row>
    <row r="654" spans="1:5" x14ac:dyDescent="0.25">
      <c r="A654">
        <v>9003</v>
      </c>
      <c r="B654" t="s">
        <v>32</v>
      </c>
      <c r="C654">
        <v>4320</v>
      </c>
      <c r="D654" s="3" t="s">
        <v>294</v>
      </c>
      <c r="E654" t="s">
        <v>28</v>
      </c>
    </row>
    <row r="655" spans="1:5" x14ac:dyDescent="0.25">
      <c r="A655">
        <v>9003</v>
      </c>
      <c r="B655" t="s">
        <v>32</v>
      </c>
      <c r="C655">
        <v>1296</v>
      </c>
      <c r="D655" s="3" t="s">
        <v>278</v>
      </c>
      <c r="E655" t="s">
        <v>28</v>
      </c>
    </row>
    <row r="656" spans="1:5" x14ac:dyDescent="0.25">
      <c r="A656">
        <v>9004</v>
      </c>
      <c r="B656" t="s">
        <v>33</v>
      </c>
      <c r="C656">
        <v>1512</v>
      </c>
      <c r="D656" s="3" t="s">
        <v>295</v>
      </c>
      <c r="E656" t="s">
        <v>28</v>
      </c>
    </row>
    <row r="657" spans="1:5" x14ac:dyDescent="0.25">
      <c r="A657">
        <v>9004</v>
      </c>
      <c r="B657" t="s">
        <v>33</v>
      </c>
      <c r="C657">
        <v>2196</v>
      </c>
      <c r="D657" s="3" t="s">
        <v>292</v>
      </c>
      <c r="E657" t="s">
        <v>28</v>
      </c>
    </row>
    <row r="658" spans="1:5" x14ac:dyDescent="0.25">
      <c r="A658">
        <v>9005</v>
      </c>
      <c r="B658" t="s">
        <v>34</v>
      </c>
      <c r="C658">
        <v>828</v>
      </c>
      <c r="D658" s="3" t="s">
        <v>286</v>
      </c>
      <c r="E658" t="s">
        <v>28</v>
      </c>
    </row>
    <row r="659" spans="1:5" x14ac:dyDescent="0.25">
      <c r="A659">
        <v>9005</v>
      </c>
      <c r="B659" t="s">
        <v>34</v>
      </c>
      <c r="C659">
        <v>864</v>
      </c>
      <c r="D659" s="3" t="s">
        <v>287</v>
      </c>
      <c r="E659" t="s">
        <v>28</v>
      </c>
    </row>
    <row r="660" spans="1:5" x14ac:dyDescent="0.25">
      <c r="A660">
        <v>9007</v>
      </c>
      <c r="B660" t="s">
        <v>230</v>
      </c>
      <c r="C660">
        <v>720</v>
      </c>
      <c r="D660" s="3" t="s">
        <v>286</v>
      </c>
      <c r="E660" t="s">
        <v>28</v>
      </c>
    </row>
    <row r="661" spans="1:5" x14ac:dyDescent="0.25">
      <c r="A661">
        <v>9009</v>
      </c>
      <c r="B661" t="s">
        <v>77</v>
      </c>
      <c r="C661">
        <v>792</v>
      </c>
      <c r="D661" s="3" t="s">
        <v>292</v>
      </c>
      <c r="E661" t="s">
        <v>28</v>
      </c>
    </row>
    <row r="662" spans="1:5" x14ac:dyDescent="0.25">
      <c r="A662">
        <v>9011</v>
      </c>
      <c r="B662" t="s">
        <v>78</v>
      </c>
      <c r="C662">
        <v>2124</v>
      </c>
      <c r="D662" s="3" t="s">
        <v>281</v>
      </c>
      <c r="E662" t="s">
        <v>28</v>
      </c>
    </row>
    <row r="663" spans="1:5" x14ac:dyDescent="0.25">
      <c r="A663">
        <v>9011</v>
      </c>
      <c r="B663" t="s">
        <v>78</v>
      </c>
      <c r="C663">
        <v>936</v>
      </c>
      <c r="D663" s="3" t="s">
        <v>274</v>
      </c>
      <c r="E663" t="s">
        <v>28</v>
      </c>
    </row>
    <row r="664" spans="1:5" x14ac:dyDescent="0.25">
      <c r="A664">
        <v>9011</v>
      </c>
      <c r="B664" t="s">
        <v>78</v>
      </c>
      <c r="C664">
        <v>936</v>
      </c>
      <c r="D664" s="3" t="s">
        <v>275</v>
      </c>
      <c r="E664" t="s">
        <v>28</v>
      </c>
    </row>
    <row r="665" spans="1:5" x14ac:dyDescent="0.25">
      <c r="A665">
        <v>9011</v>
      </c>
      <c r="B665" t="s">
        <v>78</v>
      </c>
      <c r="C665">
        <v>1728</v>
      </c>
      <c r="D665" s="3" t="s">
        <v>276</v>
      </c>
      <c r="E665" t="s">
        <v>28</v>
      </c>
    </row>
    <row r="666" spans="1:5" x14ac:dyDescent="0.25">
      <c r="A666">
        <v>9011</v>
      </c>
      <c r="B666" t="s">
        <v>78</v>
      </c>
      <c r="C666">
        <v>1872</v>
      </c>
      <c r="D666" s="3" t="s">
        <v>278</v>
      </c>
      <c r="E666" t="s">
        <v>28</v>
      </c>
    </row>
    <row r="667" spans="1:5" x14ac:dyDescent="0.25">
      <c r="A667">
        <v>9013</v>
      </c>
      <c r="B667" t="s">
        <v>35</v>
      </c>
      <c r="C667">
        <v>252</v>
      </c>
      <c r="D667" s="3" t="s">
        <v>281</v>
      </c>
      <c r="E667" t="s">
        <v>28</v>
      </c>
    </row>
    <row r="668" spans="1:5" x14ac:dyDescent="0.25">
      <c r="A668">
        <v>9013</v>
      </c>
      <c r="B668" t="s">
        <v>35</v>
      </c>
      <c r="C668">
        <v>828</v>
      </c>
      <c r="D668" s="3" t="s">
        <v>292</v>
      </c>
      <c r="E668" t="s">
        <v>28</v>
      </c>
    </row>
    <row r="669" spans="1:5" x14ac:dyDescent="0.25">
      <c r="A669">
        <v>9014</v>
      </c>
      <c r="B669" t="s">
        <v>79</v>
      </c>
      <c r="C669">
        <v>756</v>
      </c>
      <c r="D669" s="3" t="s">
        <v>276</v>
      </c>
      <c r="E669" t="s">
        <v>28</v>
      </c>
    </row>
    <row r="670" spans="1:5" x14ac:dyDescent="0.25">
      <c r="A670">
        <v>9018</v>
      </c>
      <c r="B670" t="s">
        <v>36</v>
      </c>
      <c r="C670">
        <v>648</v>
      </c>
      <c r="D670" s="3" t="s">
        <v>288</v>
      </c>
      <c r="E670" t="s">
        <v>28</v>
      </c>
    </row>
    <row r="671" spans="1:5" x14ac:dyDescent="0.25">
      <c r="A671">
        <v>9019</v>
      </c>
      <c r="B671" t="s">
        <v>37</v>
      </c>
      <c r="C671">
        <v>2556</v>
      </c>
      <c r="D671" s="3" t="s">
        <v>281</v>
      </c>
      <c r="E671" t="s">
        <v>28</v>
      </c>
    </row>
    <row r="672" spans="1:5" x14ac:dyDescent="0.25">
      <c r="A672">
        <v>9019</v>
      </c>
      <c r="B672" t="s">
        <v>37</v>
      </c>
      <c r="C672">
        <v>2700</v>
      </c>
      <c r="D672" s="3" t="s">
        <v>275</v>
      </c>
      <c r="E672" t="s">
        <v>28</v>
      </c>
    </row>
    <row r="673" spans="1:5" x14ac:dyDescent="0.25">
      <c r="A673">
        <v>9019</v>
      </c>
      <c r="B673" t="s">
        <v>37</v>
      </c>
      <c r="C673">
        <v>1728</v>
      </c>
      <c r="D673" s="3" t="s">
        <v>276</v>
      </c>
      <c r="E673" t="s">
        <v>28</v>
      </c>
    </row>
    <row r="674" spans="1:5" x14ac:dyDescent="0.25">
      <c r="A674">
        <v>9019</v>
      </c>
      <c r="B674" t="s">
        <v>37</v>
      </c>
      <c r="C674">
        <v>4212</v>
      </c>
      <c r="D674" s="3" t="s">
        <v>278</v>
      </c>
      <c r="E674" t="s">
        <v>28</v>
      </c>
    </row>
    <row r="675" spans="1:5" x14ac:dyDescent="0.25">
      <c r="A675">
        <v>9021</v>
      </c>
      <c r="B675" t="s">
        <v>38</v>
      </c>
      <c r="C675">
        <v>972</v>
      </c>
      <c r="D675" s="3" t="s">
        <v>287</v>
      </c>
      <c r="E675" t="s">
        <v>28</v>
      </c>
    </row>
    <row r="676" spans="1:5" x14ac:dyDescent="0.25">
      <c r="A676">
        <v>9024</v>
      </c>
      <c r="B676" t="s">
        <v>146</v>
      </c>
      <c r="C676">
        <v>2988</v>
      </c>
      <c r="D676" s="3" t="s">
        <v>275</v>
      </c>
      <c r="E676" t="s">
        <v>28</v>
      </c>
    </row>
    <row r="677" spans="1:5" x14ac:dyDescent="0.25">
      <c r="A677">
        <v>9025</v>
      </c>
      <c r="B677" t="s">
        <v>40</v>
      </c>
      <c r="C677">
        <v>648</v>
      </c>
      <c r="D677" s="3" t="s">
        <v>274</v>
      </c>
      <c r="E677" t="s">
        <v>28</v>
      </c>
    </row>
    <row r="678" spans="1:5" x14ac:dyDescent="0.25">
      <c r="A678">
        <v>9026</v>
      </c>
      <c r="B678" t="s">
        <v>80</v>
      </c>
      <c r="C678">
        <v>2304</v>
      </c>
      <c r="D678" s="3" t="s">
        <v>287</v>
      </c>
      <c r="E678" t="s">
        <v>28</v>
      </c>
    </row>
    <row r="679" spans="1:5" x14ac:dyDescent="0.25">
      <c r="A679">
        <v>9026</v>
      </c>
      <c r="B679" t="s">
        <v>80</v>
      </c>
      <c r="C679">
        <v>2304</v>
      </c>
      <c r="D679" s="3" t="s">
        <v>288</v>
      </c>
      <c r="E679" t="s">
        <v>28</v>
      </c>
    </row>
    <row r="680" spans="1:5" x14ac:dyDescent="0.25">
      <c r="A680">
        <v>9026</v>
      </c>
      <c r="B680" t="s">
        <v>80</v>
      </c>
      <c r="C680">
        <v>4788</v>
      </c>
      <c r="D680" s="3" t="s">
        <v>295</v>
      </c>
      <c r="E680" t="s">
        <v>28</v>
      </c>
    </row>
    <row r="681" spans="1:5" x14ac:dyDescent="0.25">
      <c r="A681">
        <v>9028</v>
      </c>
      <c r="B681" t="s">
        <v>119</v>
      </c>
      <c r="C681">
        <v>756</v>
      </c>
      <c r="D681" s="3" t="s">
        <v>276</v>
      </c>
      <c r="E681" t="s">
        <v>28</v>
      </c>
    </row>
    <row r="682" spans="1:5" x14ac:dyDescent="0.25">
      <c r="A682">
        <v>9029</v>
      </c>
      <c r="B682" t="s">
        <v>41</v>
      </c>
      <c r="C682">
        <v>1116</v>
      </c>
      <c r="D682" s="3" t="s">
        <v>295</v>
      </c>
      <c r="E682" t="s">
        <v>28</v>
      </c>
    </row>
    <row r="683" spans="1:5" x14ac:dyDescent="0.25">
      <c r="A683">
        <v>9031</v>
      </c>
      <c r="B683" t="s">
        <v>42</v>
      </c>
      <c r="C683">
        <v>2688</v>
      </c>
      <c r="D683" s="3" t="s">
        <v>284</v>
      </c>
      <c r="E683" t="s">
        <v>43</v>
      </c>
    </row>
    <row r="684" spans="1:5" x14ac:dyDescent="0.25">
      <c r="A684">
        <v>9033</v>
      </c>
      <c r="B684" t="s">
        <v>81</v>
      </c>
      <c r="C684">
        <v>360</v>
      </c>
      <c r="D684" s="3" t="s">
        <v>277</v>
      </c>
      <c r="E684" t="s">
        <v>15</v>
      </c>
    </row>
    <row r="685" spans="1:5" x14ac:dyDescent="0.25">
      <c r="A685">
        <v>9033</v>
      </c>
      <c r="B685" t="s">
        <v>81</v>
      </c>
      <c r="C685">
        <v>560</v>
      </c>
      <c r="D685" s="3" t="s">
        <v>293</v>
      </c>
      <c r="E685" t="s">
        <v>15</v>
      </c>
    </row>
    <row r="686" spans="1:5" x14ac:dyDescent="0.25">
      <c r="A686">
        <v>9034</v>
      </c>
      <c r="B686" t="s">
        <v>82</v>
      </c>
      <c r="C686">
        <v>9360</v>
      </c>
      <c r="D686" s="3" t="s">
        <v>281</v>
      </c>
      <c r="E686" t="s">
        <v>15</v>
      </c>
    </row>
    <row r="687" spans="1:5" x14ac:dyDescent="0.25">
      <c r="A687">
        <v>9041</v>
      </c>
      <c r="B687" t="s">
        <v>272</v>
      </c>
      <c r="C687">
        <v>284</v>
      </c>
      <c r="D687" s="3" t="s">
        <v>280</v>
      </c>
      <c r="E687" t="s">
        <v>174</v>
      </c>
    </row>
    <row r="688" spans="1:5" x14ac:dyDescent="0.25">
      <c r="A688">
        <v>9044</v>
      </c>
      <c r="B688" t="s">
        <v>296</v>
      </c>
      <c r="C688">
        <v>148</v>
      </c>
      <c r="D688" s="3" t="s">
        <v>280</v>
      </c>
      <c r="E688" t="s">
        <v>174</v>
      </c>
    </row>
    <row r="689" spans="1:5" x14ac:dyDescent="0.25">
      <c r="A689">
        <v>9044</v>
      </c>
      <c r="B689" t="s">
        <v>296</v>
      </c>
      <c r="C689">
        <v>316</v>
      </c>
      <c r="D689" s="3" t="s">
        <v>279</v>
      </c>
      <c r="E689" t="s">
        <v>174</v>
      </c>
    </row>
    <row r="690" spans="1:5" x14ac:dyDescent="0.25">
      <c r="A690">
        <v>9045</v>
      </c>
      <c r="B690" t="s">
        <v>297</v>
      </c>
      <c r="C690">
        <v>120</v>
      </c>
      <c r="D690" s="3" t="s">
        <v>280</v>
      </c>
      <c r="E690" t="s">
        <v>174</v>
      </c>
    </row>
    <row r="691" spans="1:5" x14ac:dyDescent="0.25">
      <c r="A691">
        <v>9045</v>
      </c>
      <c r="B691" t="s">
        <v>297</v>
      </c>
      <c r="C691">
        <v>272</v>
      </c>
      <c r="D691" s="3" t="s">
        <v>267</v>
      </c>
      <c r="E691" t="s">
        <v>174</v>
      </c>
    </row>
    <row r="692" spans="1:5" x14ac:dyDescent="0.25">
      <c r="A692">
        <v>9053</v>
      </c>
      <c r="B692" t="s">
        <v>44</v>
      </c>
      <c r="C692">
        <v>2000</v>
      </c>
      <c r="D692" s="3" t="s">
        <v>287</v>
      </c>
      <c r="E692" t="s">
        <v>45</v>
      </c>
    </row>
    <row r="693" spans="1:5" x14ac:dyDescent="0.25">
      <c r="A693">
        <v>9053</v>
      </c>
      <c r="B693" t="s">
        <v>44</v>
      </c>
      <c r="C693">
        <v>1440</v>
      </c>
      <c r="D693" s="3" t="s">
        <v>288</v>
      </c>
      <c r="E693" t="s">
        <v>45</v>
      </c>
    </row>
    <row r="694" spans="1:5" x14ac:dyDescent="0.25">
      <c r="A694">
        <v>9053</v>
      </c>
      <c r="B694" t="s">
        <v>44</v>
      </c>
      <c r="C694">
        <v>1610</v>
      </c>
      <c r="D694" s="3" t="s">
        <v>295</v>
      </c>
      <c r="E694" t="s">
        <v>45</v>
      </c>
    </row>
    <row r="695" spans="1:5" x14ac:dyDescent="0.25">
      <c r="A695">
        <v>9053</v>
      </c>
      <c r="B695" t="s">
        <v>44</v>
      </c>
      <c r="C695">
        <v>320</v>
      </c>
      <c r="D695" s="3" t="s">
        <v>279</v>
      </c>
      <c r="E695" t="s">
        <v>45</v>
      </c>
    </row>
    <row r="696" spans="1:5" x14ac:dyDescent="0.25">
      <c r="A696">
        <v>9053</v>
      </c>
      <c r="B696" t="s">
        <v>44</v>
      </c>
      <c r="C696">
        <v>400</v>
      </c>
      <c r="D696" s="3" t="s">
        <v>279</v>
      </c>
      <c r="E696" t="s">
        <v>45</v>
      </c>
    </row>
    <row r="697" spans="1:5" x14ac:dyDescent="0.25">
      <c r="A697">
        <v>9053</v>
      </c>
      <c r="B697" t="s">
        <v>44</v>
      </c>
      <c r="C697">
        <v>640</v>
      </c>
      <c r="D697" s="3" t="s">
        <v>294</v>
      </c>
      <c r="E697" t="s">
        <v>45</v>
      </c>
    </row>
    <row r="698" spans="1:5" x14ac:dyDescent="0.25">
      <c r="A698">
        <v>9053</v>
      </c>
      <c r="B698" t="s">
        <v>44</v>
      </c>
      <c r="C698">
        <v>2880</v>
      </c>
      <c r="D698" s="3" t="s">
        <v>278</v>
      </c>
      <c r="E698" t="s">
        <v>45</v>
      </c>
    </row>
    <row r="699" spans="1:5" x14ac:dyDescent="0.25">
      <c r="A699">
        <v>9188</v>
      </c>
      <c r="B699" t="s">
        <v>48</v>
      </c>
      <c r="C699">
        <v>2400</v>
      </c>
      <c r="D699" s="3" t="s">
        <v>284</v>
      </c>
      <c r="E699" t="s">
        <v>15</v>
      </c>
    </row>
    <row r="700" spans="1:5" x14ac:dyDescent="0.25">
      <c r="A700">
        <v>9188</v>
      </c>
      <c r="B700" t="s">
        <v>48</v>
      </c>
      <c r="C700">
        <v>940</v>
      </c>
      <c r="D700" s="3" t="s">
        <v>286</v>
      </c>
      <c r="E700" t="s">
        <v>15</v>
      </c>
    </row>
    <row r="701" spans="1:5" x14ac:dyDescent="0.25">
      <c r="A701">
        <v>9188</v>
      </c>
      <c r="B701" t="s">
        <v>48</v>
      </c>
      <c r="C701">
        <v>1000</v>
      </c>
      <c r="D701" s="3" t="s">
        <v>288</v>
      </c>
      <c r="E701" t="s">
        <v>15</v>
      </c>
    </row>
    <row r="702" spans="1:5" x14ac:dyDescent="0.25">
      <c r="A702">
        <v>9188</v>
      </c>
      <c r="B702" t="s">
        <v>48</v>
      </c>
      <c r="C702">
        <v>1670</v>
      </c>
      <c r="D702" s="3" t="s">
        <v>295</v>
      </c>
      <c r="E702" t="s">
        <v>15</v>
      </c>
    </row>
    <row r="703" spans="1:5" x14ac:dyDescent="0.25">
      <c r="A703">
        <v>9188</v>
      </c>
      <c r="B703" t="s">
        <v>48</v>
      </c>
      <c r="C703">
        <v>290</v>
      </c>
      <c r="D703" s="3" t="s">
        <v>279</v>
      </c>
      <c r="E703" t="s">
        <v>15</v>
      </c>
    </row>
    <row r="704" spans="1:5" x14ac:dyDescent="0.25">
      <c r="A704">
        <v>9188</v>
      </c>
      <c r="B704" t="s">
        <v>48</v>
      </c>
      <c r="C704">
        <v>530</v>
      </c>
      <c r="D704" s="3" t="s">
        <v>279</v>
      </c>
      <c r="E704" t="s">
        <v>15</v>
      </c>
    </row>
    <row r="705" spans="1:5" x14ac:dyDescent="0.25">
      <c r="A705">
        <v>9201</v>
      </c>
      <c r="B705" t="s">
        <v>50</v>
      </c>
      <c r="C705">
        <v>4200</v>
      </c>
      <c r="D705" s="3" t="s">
        <v>276</v>
      </c>
      <c r="E705" t="s">
        <v>15</v>
      </c>
    </row>
    <row r="706" spans="1:5" x14ac:dyDescent="0.25">
      <c r="A706">
        <v>9211</v>
      </c>
      <c r="B706" t="s">
        <v>51</v>
      </c>
      <c r="C706">
        <v>9882</v>
      </c>
      <c r="D706" s="3" t="s">
        <v>291</v>
      </c>
      <c r="E706" t="s">
        <v>28</v>
      </c>
    </row>
    <row r="707" spans="1:5" x14ac:dyDescent="0.25">
      <c r="A707">
        <v>9211</v>
      </c>
      <c r="B707" t="s">
        <v>51</v>
      </c>
      <c r="C707">
        <v>7884</v>
      </c>
      <c r="D707" s="3" t="s">
        <v>277</v>
      </c>
      <c r="E707" t="s">
        <v>28</v>
      </c>
    </row>
    <row r="708" spans="1:5" x14ac:dyDescent="0.25">
      <c r="A708">
        <v>9211</v>
      </c>
      <c r="B708" t="s">
        <v>51</v>
      </c>
      <c r="C708">
        <v>756</v>
      </c>
      <c r="D708" s="3" t="s">
        <v>292</v>
      </c>
      <c r="E708" t="s">
        <v>28</v>
      </c>
    </row>
    <row r="709" spans="1:5" x14ac:dyDescent="0.25">
      <c r="A709">
        <v>9213</v>
      </c>
      <c r="B709" t="s">
        <v>84</v>
      </c>
      <c r="C709">
        <v>2112</v>
      </c>
      <c r="D709" s="3" t="s">
        <v>271</v>
      </c>
      <c r="E709" t="s">
        <v>15</v>
      </c>
    </row>
    <row r="710" spans="1:5" x14ac:dyDescent="0.25">
      <c r="A710">
        <v>9213</v>
      </c>
      <c r="B710" t="s">
        <v>84</v>
      </c>
      <c r="C710">
        <v>8712</v>
      </c>
      <c r="D710" s="3" t="s">
        <v>273</v>
      </c>
      <c r="E710" t="s">
        <v>15</v>
      </c>
    </row>
    <row r="711" spans="1:5" x14ac:dyDescent="0.25">
      <c r="A711">
        <v>9229</v>
      </c>
      <c r="B711" t="s">
        <v>52</v>
      </c>
      <c r="C711">
        <v>376</v>
      </c>
      <c r="D711" s="3" t="s">
        <v>283</v>
      </c>
      <c r="E711" t="s">
        <v>28</v>
      </c>
    </row>
    <row r="712" spans="1:5" x14ac:dyDescent="0.25">
      <c r="A712">
        <v>9237</v>
      </c>
      <c r="B712" t="s">
        <v>53</v>
      </c>
      <c r="C712">
        <v>1464</v>
      </c>
      <c r="D712" s="3" t="s">
        <v>284</v>
      </c>
      <c r="E712" t="s">
        <v>15</v>
      </c>
    </row>
    <row r="713" spans="1:5" x14ac:dyDescent="0.25">
      <c r="A713">
        <v>9237</v>
      </c>
      <c r="B713" t="s">
        <v>53</v>
      </c>
      <c r="C713">
        <v>576</v>
      </c>
      <c r="D713" s="3" t="s">
        <v>285</v>
      </c>
      <c r="E713" t="s">
        <v>15</v>
      </c>
    </row>
    <row r="714" spans="1:5" x14ac:dyDescent="0.25">
      <c r="A714">
        <v>9237</v>
      </c>
      <c r="B714" t="s">
        <v>53</v>
      </c>
      <c r="C714">
        <v>1248</v>
      </c>
      <c r="D714" s="3" t="s">
        <v>286</v>
      </c>
      <c r="E714" t="s">
        <v>15</v>
      </c>
    </row>
    <row r="715" spans="1:5" x14ac:dyDescent="0.25">
      <c r="A715">
        <v>9237</v>
      </c>
      <c r="B715" t="s">
        <v>53</v>
      </c>
      <c r="C715">
        <v>576</v>
      </c>
      <c r="D715" s="3" t="s">
        <v>287</v>
      </c>
      <c r="E715" t="s">
        <v>15</v>
      </c>
    </row>
    <row r="716" spans="1:5" x14ac:dyDescent="0.25">
      <c r="A716">
        <v>9237</v>
      </c>
      <c r="B716" t="s">
        <v>53</v>
      </c>
      <c r="C716">
        <v>396</v>
      </c>
      <c r="D716" s="3" t="s">
        <v>288</v>
      </c>
      <c r="E716" t="s">
        <v>15</v>
      </c>
    </row>
    <row r="717" spans="1:5" x14ac:dyDescent="0.25">
      <c r="A717">
        <v>9237</v>
      </c>
      <c r="B717" t="s">
        <v>53</v>
      </c>
      <c r="C717">
        <v>612</v>
      </c>
      <c r="D717" s="3" t="s">
        <v>275</v>
      </c>
      <c r="E717" t="s">
        <v>15</v>
      </c>
    </row>
    <row r="718" spans="1:5" x14ac:dyDescent="0.25">
      <c r="A718">
        <v>9237</v>
      </c>
      <c r="B718" t="s">
        <v>53</v>
      </c>
      <c r="C718">
        <v>672</v>
      </c>
      <c r="D718" s="3" t="s">
        <v>292</v>
      </c>
      <c r="E718" t="s">
        <v>15</v>
      </c>
    </row>
    <row r="719" spans="1:5" x14ac:dyDescent="0.25">
      <c r="A719">
        <v>13816</v>
      </c>
      <c r="B719" t="s">
        <v>91</v>
      </c>
      <c r="C719">
        <v>6200</v>
      </c>
      <c r="D719" s="3" t="s">
        <v>284</v>
      </c>
      <c r="E719" t="s">
        <v>28</v>
      </c>
    </row>
    <row r="720" spans="1:5" x14ac:dyDescent="0.25">
      <c r="A720">
        <v>2283</v>
      </c>
      <c r="B720" t="s">
        <v>152</v>
      </c>
      <c r="C720">
        <v>808</v>
      </c>
      <c r="D720" s="3" t="s">
        <v>298</v>
      </c>
      <c r="E720" t="s">
        <v>7</v>
      </c>
    </row>
    <row r="721" spans="1:5" x14ac:dyDescent="0.25">
      <c r="A721">
        <v>2285</v>
      </c>
      <c r="B721" t="s">
        <v>299</v>
      </c>
      <c r="C721">
        <v>728</v>
      </c>
      <c r="D721" s="3" t="s">
        <v>300</v>
      </c>
      <c r="E721" t="s">
        <v>7</v>
      </c>
    </row>
    <row r="722" spans="1:5" x14ac:dyDescent="0.25">
      <c r="A722">
        <v>2543</v>
      </c>
      <c r="B722" t="s">
        <v>161</v>
      </c>
      <c r="C722">
        <v>560</v>
      </c>
      <c r="D722" s="3" t="s">
        <v>301</v>
      </c>
      <c r="E722" t="s">
        <v>7</v>
      </c>
    </row>
    <row r="723" spans="1:5" x14ac:dyDescent="0.25">
      <c r="A723">
        <v>2553</v>
      </c>
      <c r="B723" t="s">
        <v>162</v>
      </c>
      <c r="C723">
        <v>990</v>
      </c>
      <c r="D723" s="3" t="s">
        <v>302</v>
      </c>
      <c r="E723" t="s">
        <v>7</v>
      </c>
    </row>
    <row r="724" spans="1:5" x14ac:dyDescent="0.25">
      <c r="A724">
        <v>2735</v>
      </c>
      <c r="B724" t="s">
        <v>13</v>
      </c>
      <c r="C724">
        <v>550</v>
      </c>
      <c r="D724" s="3" t="s">
        <v>303</v>
      </c>
      <c r="E724" t="s">
        <v>15</v>
      </c>
    </row>
    <row r="725" spans="1:5" x14ac:dyDescent="0.25">
      <c r="A725">
        <v>2736</v>
      </c>
      <c r="B725" t="s">
        <v>62</v>
      </c>
      <c r="C725">
        <v>5484</v>
      </c>
      <c r="D725" s="3" t="s">
        <v>298</v>
      </c>
      <c r="E725" t="s">
        <v>15</v>
      </c>
    </row>
    <row r="726" spans="1:5" x14ac:dyDescent="0.25">
      <c r="A726">
        <v>2738</v>
      </c>
      <c r="B726" t="s">
        <v>16</v>
      </c>
      <c r="C726">
        <v>4320</v>
      </c>
      <c r="D726" s="3" t="s">
        <v>304</v>
      </c>
      <c r="E726" t="s">
        <v>15</v>
      </c>
    </row>
    <row r="727" spans="1:5" x14ac:dyDescent="0.25">
      <c r="A727">
        <v>2738</v>
      </c>
      <c r="B727" t="s">
        <v>16</v>
      </c>
      <c r="C727">
        <v>5040</v>
      </c>
      <c r="D727" s="3" t="s">
        <v>303</v>
      </c>
      <c r="E727" t="s">
        <v>15</v>
      </c>
    </row>
    <row r="728" spans="1:5" x14ac:dyDescent="0.25">
      <c r="A728">
        <v>2738</v>
      </c>
      <c r="B728" t="s">
        <v>16</v>
      </c>
      <c r="C728">
        <v>2880</v>
      </c>
      <c r="D728" s="3" t="s">
        <v>305</v>
      </c>
      <c r="E728" t="s">
        <v>15</v>
      </c>
    </row>
    <row r="729" spans="1:5" x14ac:dyDescent="0.25">
      <c r="A729">
        <v>2738</v>
      </c>
      <c r="B729" t="s">
        <v>16</v>
      </c>
      <c r="C729">
        <v>6480</v>
      </c>
      <c r="D729" s="3" t="s">
        <v>301</v>
      </c>
      <c r="E729" t="s">
        <v>15</v>
      </c>
    </row>
    <row r="730" spans="1:5" x14ac:dyDescent="0.25">
      <c r="A730">
        <v>2738</v>
      </c>
      <c r="B730" t="s">
        <v>16</v>
      </c>
      <c r="C730">
        <v>9360</v>
      </c>
      <c r="D730" s="3" t="s">
        <v>306</v>
      </c>
      <c r="E730" t="s">
        <v>15</v>
      </c>
    </row>
    <row r="731" spans="1:5" x14ac:dyDescent="0.25">
      <c r="A731">
        <v>2738</v>
      </c>
      <c r="B731" t="s">
        <v>16</v>
      </c>
      <c r="C731">
        <v>4320</v>
      </c>
      <c r="D731" s="3" t="s">
        <v>307</v>
      </c>
      <c r="E731" t="s">
        <v>15</v>
      </c>
    </row>
    <row r="732" spans="1:5" x14ac:dyDescent="0.25">
      <c r="A732">
        <v>2738</v>
      </c>
      <c r="B732" t="s">
        <v>16</v>
      </c>
      <c r="C732">
        <v>5760</v>
      </c>
      <c r="D732" s="3" t="s">
        <v>308</v>
      </c>
      <c r="E732" t="s">
        <v>15</v>
      </c>
    </row>
    <row r="733" spans="1:5" x14ac:dyDescent="0.25">
      <c r="A733">
        <v>2738</v>
      </c>
      <c r="B733" t="s">
        <v>16</v>
      </c>
      <c r="C733">
        <v>7200</v>
      </c>
      <c r="D733" s="3" t="s">
        <v>309</v>
      </c>
      <c r="E733" t="s">
        <v>15</v>
      </c>
    </row>
    <row r="734" spans="1:5" x14ac:dyDescent="0.25">
      <c r="A734">
        <v>2738</v>
      </c>
      <c r="B734" t="s">
        <v>16</v>
      </c>
      <c r="C734">
        <v>6480</v>
      </c>
      <c r="D734" s="3" t="s">
        <v>300</v>
      </c>
      <c r="E734" t="s">
        <v>15</v>
      </c>
    </row>
    <row r="735" spans="1:5" x14ac:dyDescent="0.25">
      <c r="A735">
        <v>2738</v>
      </c>
      <c r="B735" t="s">
        <v>16</v>
      </c>
      <c r="C735">
        <v>2880</v>
      </c>
      <c r="D735" s="3" t="s">
        <v>302</v>
      </c>
      <c r="E735" t="s">
        <v>15</v>
      </c>
    </row>
    <row r="736" spans="1:5" x14ac:dyDescent="0.25">
      <c r="A736">
        <v>4808</v>
      </c>
      <c r="B736" t="s">
        <v>241</v>
      </c>
      <c r="C736">
        <v>-2240</v>
      </c>
      <c r="D736" s="3" t="s">
        <v>301</v>
      </c>
      <c r="E736" t="s">
        <v>25</v>
      </c>
    </row>
    <row r="737" spans="1:5" x14ac:dyDescent="0.25">
      <c r="A737">
        <v>4808</v>
      </c>
      <c r="B737" t="s">
        <v>241</v>
      </c>
      <c r="C737">
        <v>2240</v>
      </c>
      <c r="D737" s="3" t="s">
        <v>301</v>
      </c>
      <c r="E737" t="s">
        <v>25</v>
      </c>
    </row>
    <row r="738" spans="1:5" x14ac:dyDescent="0.25">
      <c r="A738">
        <v>4808</v>
      </c>
      <c r="B738" t="s">
        <v>241</v>
      </c>
      <c r="C738">
        <v>632</v>
      </c>
      <c r="D738" s="3" t="s">
        <v>300</v>
      </c>
      <c r="E738" t="s">
        <v>25</v>
      </c>
    </row>
    <row r="739" spans="1:5" x14ac:dyDescent="0.25">
      <c r="A739">
        <v>4855</v>
      </c>
      <c r="B739" t="s">
        <v>242</v>
      </c>
      <c r="C739">
        <v>560</v>
      </c>
      <c r="D739" s="3" t="s">
        <v>305</v>
      </c>
      <c r="E739" t="s">
        <v>25</v>
      </c>
    </row>
    <row r="740" spans="1:5" x14ac:dyDescent="0.25">
      <c r="A740">
        <v>4855</v>
      </c>
      <c r="B740" t="s">
        <v>242</v>
      </c>
      <c r="C740">
        <v>2240</v>
      </c>
      <c r="D740" s="3" t="s">
        <v>301</v>
      </c>
      <c r="E740" t="s">
        <v>25</v>
      </c>
    </row>
    <row r="741" spans="1:5" x14ac:dyDescent="0.25">
      <c r="A741">
        <v>4855</v>
      </c>
      <c r="B741" t="s">
        <v>242</v>
      </c>
      <c r="C741">
        <v>2016</v>
      </c>
      <c r="D741" s="3" t="s">
        <v>309</v>
      </c>
      <c r="E741" t="s">
        <v>25</v>
      </c>
    </row>
    <row r="742" spans="1:5" x14ac:dyDescent="0.25">
      <c r="A742">
        <v>9000</v>
      </c>
      <c r="B742" t="s">
        <v>27</v>
      </c>
      <c r="C742">
        <v>1782</v>
      </c>
      <c r="D742" s="3" t="s">
        <v>306</v>
      </c>
      <c r="E742" t="s">
        <v>28</v>
      </c>
    </row>
    <row r="743" spans="1:5" x14ac:dyDescent="0.25">
      <c r="A743">
        <v>9000</v>
      </c>
      <c r="B743" t="s">
        <v>27</v>
      </c>
      <c r="C743">
        <v>4320</v>
      </c>
      <c r="D743" s="3" t="s">
        <v>300</v>
      </c>
      <c r="E743" t="s">
        <v>28</v>
      </c>
    </row>
    <row r="744" spans="1:5" x14ac:dyDescent="0.25">
      <c r="A744">
        <v>9001</v>
      </c>
      <c r="B744" t="s">
        <v>29</v>
      </c>
      <c r="C744">
        <v>8316</v>
      </c>
      <c r="D744" s="3" t="s">
        <v>303</v>
      </c>
      <c r="E744" t="s">
        <v>28</v>
      </c>
    </row>
    <row r="745" spans="1:5" x14ac:dyDescent="0.25">
      <c r="A745">
        <v>9001</v>
      </c>
      <c r="B745" t="s">
        <v>29</v>
      </c>
      <c r="C745">
        <v>2196</v>
      </c>
      <c r="D745" s="3" t="s">
        <v>301</v>
      </c>
      <c r="E745" t="s">
        <v>28</v>
      </c>
    </row>
    <row r="746" spans="1:5" x14ac:dyDescent="0.25">
      <c r="A746">
        <v>9001</v>
      </c>
      <c r="B746" t="s">
        <v>29</v>
      </c>
      <c r="C746">
        <v>2304</v>
      </c>
      <c r="D746" s="3" t="s">
        <v>306</v>
      </c>
      <c r="E746" t="s">
        <v>28</v>
      </c>
    </row>
    <row r="747" spans="1:5" x14ac:dyDescent="0.25">
      <c r="A747">
        <v>9001</v>
      </c>
      <c r="B747" t="s">
        <v>29</v>
      </c>
      <c r="C747">
        <v>10008</v>
      </c>
      <c r="D747" s="3" t="s">
        <v>308</v>
      </c>
      <c r="E747" t="s">
        <v>28</v>
      </c>
    </row>
    <row r="748" spans="1:5" x14ac:dyDescent="0.25">
      <c r="A748">
        <v>9001</v>
      </c>
      <c r="B748" t="s">
        <v>29</v>
      </c>
      <c r="C748">
        <v>10656</v>
      </c>
      <c r="D748" s="3" t="s">
        <v>309</v>
      </c>
      <c r="E748" t="s">
        <v>28</v>
      </c>
    </row>
    <row r="749" spans="1:5" x14ac:dyDescent="0.25">
      <c r="A749">
        <v>9001</v>
      </c>
      <c r="B749" t="s">
        <v>29</v>
      </c>
      <c r="C749">
        <v>7092</v>
      </c>
      <c r="D749" s="3" t="s">
        <v>302</v>
      </c>
      <c r="E749" t="s">
        <v>28</v>
      </c>
    </row>
    <row r="750" spans="1:5" x14ac:dyDescent="0.25">
      <c r="A750">
        <v>9001</v>
      </c>
      <c r="B750" t="s">
        <v>29</v>
      </c>
      <c r="C750">
        <v>6048</v>
      </c>
      <c r="D750" s="3" t="s">
        <v>300</v>
      </c>
      <c r="E750" t="s">
        <v>28</v>
      </c>
    </row>
    <row r="751" spans="1:5" x14ac:dyDescent="0.25">
      <c r="A751">
        <v>9003</v>
      </c>
      <c r="B751" t="s">
        <v>32</v>
      </c>
      <c r="C751">
        <v>2232</v>
      </c>
      <c r="D751" s="3" t="s">
        <v>303</v>
      </c>
      <c r="E751" t="s">
        <v>28</v>
      </c>
    </row>
    <row r="752" spans="1:5" x14ac:dyDescent="0.25">
      <c r="A752">
        <v>9003</v>
      </c>
      <c r="B752" t="s">
        <v>32</v>
      </c>
      <c r="C752">
        <v>3240</v>
      </c>
      <c r="D752" s="3" t="s">
        <v>298</v>
      </c>
      <c r="E752" t="s">
        <v>28</v>
      </c>
    </row>
    <row r="753" spans="1:5" x14ac:dyDescent="0.25">
      <c r="A753">
        <v>9003</v>
      </c>
      <c r="B753" t="s">
        <v>32</v>
      </c>
      <c r="C753">
        <v>684</v>
      </c>
      <c r="D753" s="3" t="s">
        <v>301</v>
      </c>
      <c r="E753" t="s">
        <v>28</v>
      </c>
    </row>
    <row r="754" spans="1:5" x14ac:dyDescent="0.25">
      <c r="A754">
        <v>9003</v>
      </c>
      <c r="B754" t="s">
        <v>32</v>
      </c>
      <c r="C754">
        <v>-2304</v>
      </c>
      <c r="D754" s="3" t="s">
        <v>306</v>
      </c>
      <c r="E754" t="s">
        <v>28</v>
      </c>
    </row>
    <row r="755" spans="1:5" x14ac:dyDescent="0.25">
      <c r="A755">
        <v>9003</v>
      </c>
      <c r="B755" t="s">
        <v>32</v>
      </c>
      <c r="C755">
        <v>2304</v>
      </c>
      <c r="D755" s="3" t="s">
        <v>306</v>
      </c>
      <c r="E755" t="s">
        <v>28</v>
      </c>
    </row>
    <row r="756" spans="1:5" x14ac:dyDescent="0.25">
      <c r="A756">
        <v>9003</v>
      </c>
      <c r="B756" t="s">
        <v>32</v>
      </c>
      <c r="C756">
        <v>2304</v>
      </c>
      <c r="D756" s="3" t="s">
        <v>306</v>
      </c>
      <c r="E756" t="s">
        <v>28</v>
      </c>
    </row>
    <row r="757" spans="1:5" x14ac:dyDescent="0.25">
      <c r="A757">
        <v>9003</v>
      </c>
      <c r="B757" t="s">
        <v>32</v>
      </c>
      <c r="C757">
        <v>792</v>
      </c>
      <c r="D757" s="3" t="s">
        <v>309</v>
      </c>
      <c r="E757" t="s">
        <v>28</v>
      </c>
    </row>
    <row r="758" spans="1:5" x14ac:dyDescent="0.25">
      <c r="A758">
        <v>9003</v>
      </c>
      <c r="B758" t="s">
        <v>32</v>
      </c>
      <c r="C758">
        <v>2484</v>
      </c>
      <c r="D758" s="3" t="s">
        <v>300</v>
      </c>
      <c r="E758" t="s">
        <v>28</v>
      </c>
    </row>
    <row r="759" spans="1:5" x14ac:dyDescent="0.25">
      <c r="A759">
        <v>9003</v>
      </c>
      <c r="B759" t="s">
        <v>32</v>
      </c>
      <c r="C759">
        <v>3384</v>
      </c>
      <c r="D759" s="3" t="s">
        <v>302</v>
      </c>
      <c r="E759" t="s">
        <v>28</v>
      </c>
    </row>
    <row r="760" spans="1:5" x14ac:dyDescent="0.25">
      <c r="A760">
        <v>9004</v>
      </c>
      <c r="B760" t="s">
        <v>33</v>
      </c>
      <c r="C760">
        <v>648</v>
      </c>
      <c r="D760" s="3" t="s">
        <v>301</v>
      </c>
      <c r="E760" t="s">
        <v>28</v>
      </c>
    </row>
    <row r="761" spans="1:5" x14ac:dyDescent="0.25">
      <c r="A761">
        <v>9004</v>
      </c>
      <c r="B761" t="s">
        <v>33</v>
      </c>
      <c r="C761">
        <v>2304</v>
      </c>
      <c r="D761" s="3" t="s">
        <v>306</v>
      </c>
      <c r="E761" t="s">
        <v>28</v>
      </c>
    </row>
    <row r="762" spans="1:5" x14ac:dyDescent="0.25">
      <c r="A762">
        <v>9004</v>
      </c>
      <c r="B762" t="s">
        <v>33</v>
      </c>
      <c r="C762">
        <v>612</v>
      </c>
      <c r="D762" s="3" t="s">
        <v>302</v>
      </c>
      <c r="E762" t="s">
        <v>28</v>
      </c>
    </row>
    <row r="763" spans="1:5" x14ac:dyDescent="0.25">
      <c r="A763">
        <v>9011</v>
      </c>
      <c r="B763" t="s">
        <v>78</v>
      </c>
      <c r="C763">
        <v>864</v>
      </c>
      <c r="D763" s="3" t="s">
        <v>298</v>
      </c>
      <c r="E763" t="s">
        <v>28</v>
      </c>
    </row>
    <row r="764" spans="1:5" x14ac:dyDescent="0.25">
      <c r="A764">
        <v>9011</v>
      </c>
      <c r="B764" t="s">
        <v>78</v>
      </c>
      <c r="C764">
        <v>2016</v>
      </c>
      <c r="D764" s="3" t="s">
        <v>301</v>
      </c>
      <c r="E764" t="s">
        <v>28</v>
      </c>
    </row>
    <row r="765" spans="1:5" x14ac:dyDescent="0.25">
      <c r="A765">
        <v>9013</v>
      </c>
      <c r="B765" t="s">
        <v>35</v>
      </c>
      <c r="C765">
        <v>1692</v>
      </c>
      <c r="D765" s="3" t="s">
        <v>303</v>
      </c>
      <c r="E765" t="s">
        <v>28</v>
      </c>
    </row>
    <row r="766" spans="1:5" x14ac:dyDescent="0.25">
      <c r="A766">
        <v>9018</v>
      </c>
      <c r="B766" t="s">
        <v>36</v>
      </c>
      <c r="C766">
        <v>792</v>
      </c>
      <c r="D766" s="3" t="s">
        <v>302</v>
      </c>
      <c r="E766" t="s">
        <v>28</v>
      </c>
    </row>
    <row r="767" spans="1:5" x14ac:dyDescent="0.25">
      <c r="A767">
        <v>9019</v>
      </c>
      <c r="B767" t="s">
        <v>37</v>
      </c>
      <c r="C767">
        <v>10044</v>
      </c>
      <c r="D767" s="3" t="s">
        <v>298</v>
      </c>
      <c r="E767" t="s">
        <v>28</v>
      </c>
    </row>
    <row r="768" spans="1:5" x14ac:dyDescent="0.25">
      <c r="A768">
        <v>9019</v>
      </c>
      <c r="B768" t="s">
        <v>37</v>
      </c>
      <c r="C768">
        <v>4608</v>
      </c>
      <c r="D768" s="3" t="s">
        <v>301</v>
      </c>
      <c r="E768" t="s">
        <v>28</v>
      </c>
    </row>
    <row r="769" spans="1:5" x14ac:dyDescent="0.25">
      <c r="A769">
        <v>9019</v>
      </c>
      <c r="B769" t="s">
        <v>37</v>
      </c>
      <c r="C769">
        <v>4608</v>
      </c>
      <c r="D769" s="3" t="s">
        <v>306</v>
      </c>
      <c r="E769" t="s">
        <v>28</v>
      </c>
    </row>
    <row r="770" spans="1:5" x14ac:dyDescent="0.25">
      <c r="A770">
        <v>9019</v>
      </c>
      <c r="B770" t="s">
        <v>37</v>
      </c>
      <c r="C770">
        <v>792</v>
      </c>
      <c r="D770" s="3" t="s">
        <v>302</v>
      </c>
      <c r="E770" t="s">
        <v>28</v>
      </c>
    </row>
    <row r="771" spans="1:5" x14ac:dyDescent="0.25">
      <c r="A771">
        <v>9025</v>
      </c>
      <c r="B771" t="s">
        <v>40</v>
      </c>
      <c r="C771">
        <v>648</v>
      </c>
      <c r="D771" s="3" t="s">
        <v>303</v>
      </c>
      <c r="E771" t="s">
        <v>28</v>
      </c>
    </row>
    <row r="772" spans="1:5" x14ac:dyDescent="0.25">
      <c r="A772">
        <v>9025</v>
      </c>
      <c r="B772" t="s">
        <v>40</v>
      </c>
      <c r="C772">
        <v>288</v>
      </c>
      <c r="D772" s="3" t="s">
        <v>306</v>
      </c>
      <c r="E772" t="s">
        <v>28</v>
      </c>
    </row>
    <row r="773" spans="1:5" x14ac:dyDescent="0.25">
      <c r="A773">
        <v>9029</v>
      </c>
      <c r="B773" t="s">
        <v>41</v>
      </c>
      <c r="C773">
        <v>1440</v>
      </c>
      <c r="D773" s="3" t="s">
        <v>308</v>
      </c>
      <c r="E773" t="s">
        <v>28</v>
      </c>
    </row>
    <row r="774" spans="1:5" x14ac:dyDescent="0.25">
      <c r="A774">
        <v>9029</v>
      </c>
      <c r="B774" t="s">
        <v>41</v>
      </c>
      <c r="C774">
        <v>684</v>
      </c>
      <c r="D774" s="3" t="s">
        <v>309</v>
      </c>
      <c r="E774" t="s">
        <v>28</v>
      </c>
    </row>
    <row r="775" spans="1:5" x14ac:dyDescent="0.25">
      <c r="A775">
        <v>9033</v>
      </c>
      <c r="B775" t="s">
        <v>81</v>
      </c>
      <c r="C775">
        <v>890</v>
      </c>
      <c r="D775" s="3" t="s">
        <v>300</v>
      </c>
      <c r="E775" t="s">
        <v>15</v>
      </c>
    </row>
    <row r="776" spans="1:5" x14ac:dyDescent="0.25">
      <c r="A776">
        <v>9033</v>
      </c>
      <c r="B776" t="s">
        <v>81</v>
      </c>
      <c r="C776">
        <v>560</v>
      </c>
      <c r="D776" s="3" t="s">
        <v>302</v>
      </c>
      <c r="E776" t="s">
        <v>15</v>
      </c>
    </row>
    <row r="777" spans="1:5" x14ac:dyDescent="0.25">
      <c r="A777">
        <v>9034</v>
      </c>
      <c r="B777" t="s">
        <v>82</v>
      </c>
      <c r="C777">
        <v>5040</v>
      </c>
      <c r="D777" s="3" t="s">
        <v>302</v>
      </c>
      <c r="E777" t="s">
        <v>15</v>
      </c>
    </row>
    <row r="778" spans="1:5" x14ac:dyDescent="0.25">
      <c r="A778">
        <v>9034</v>
      </c>
      <c r="B778" t="s">
        <v>82</v>
      </c>
      <c r="C778">
        <v>5760</v>
      </c>
      <c r="D778" s="3" t="s">
        <v>310</v>
      </c>
      <c r="E778" t="s">
        <v>15</v>
      </c>
    </row>
    <row r="779" spans="1:5" x14ac:dyDescent="0.25">
      <c r="A779">
        <v>9034</v>
      </c>
      <c r="B779" t="s">
        <v>82</v>
      </c>
      <c r="C779">
        <v>5040</v>
      </c>
      <c r="D779" s="3" t="s">
        <v>311</v>
      </c>
      <c r="E779" t="s">
        <v>15</v>
      </c>
    </row>
    <row r="780" spans="1:5" x14ac:dyDescent="0.25">
      <c r="A780">
        <v>9042</v>
      </c>
      <c r="B780" t="s">
        <v>312</v>
      </c>
      <c r="C780">
        <v>220</v>
      </c>
      <c r="D780" s="3" t="s">
        <v>305</v>
      </c>
      <c r="E780" t="s">
        <v>174</v>
      </c>
    </row>
    <row r="781" spans="1:5" x14ac:dyDescent="0.25">
      <c r="A781">
        <v>9053</v>
      </c>
      <c r="B781" t="s">
        <v>44</v>
      </c>
      <c r="C781">
        <v>1020</v>
      </c>
      <c r="D781" s="3" t="s">
        <v>303</v>
      </c>
      <c r="E781" t="s">
        <v>45</v>
      </c>
    </row>
    <row r="782" spans="1:5" x14ac:dyDescent="0.25">
      <c r="A782">
        <v>9053</v>
      </c>
      <c r="B782" t="s">
        <v>44</v>
      </c>
      <c r="C782">
        <v>1110</v>
      </c>
      <c r="D782" s="3" t="s">
        <v>308</v>
      </c>
      <c r="E782" t="s">
        <v>45</v>
      </c>
    </row>
    <row r="783" spans="1:5" x14ac:dyDescent="0.25">
      <c r="A783">
        <v>9055</v>
      </c>
      <c r="B783" t="s">
        <v>313</v>
      </c>
      <c r="C783">
        <v>268</v>
      </c>
      <c r="D783" s="3" t="s">
        <v>305</v>
      </c>
      <c r="E783" t="s">
        <v>174</v>
      </c>
    </row>
    <row r="784" spans="1:5" x14ac:dyDescent="0.25">
      <c r="A784">
        <v>9188</v>
      </c>
      <c r="B784" t="s">
        <v>48</v>
      </c>
      <c r="C784">
        <v>940</v>
      </c>
      <c r="D784" s="3" t="s">
        <v>303</v>
      </c>
      <c r="E784" t="s">
        <v>15</v>
      </c>
    </row>
    <row r="785" spans="1:5" x14ac:dyDescent="0.25">
      <c r="A785">
        <v>9188</v>
      </c>
      <c r="B785" t="s">
        <v>48</v>
      </c>
      <c r="C785">
        <v>2960</v>
      </c>
      <c r="D785" s="3" t="s">
        <v>298</v>
      </c>
      <c r="E785" t="s">
        <v>15</v>
      </c>
    </row>
    <row r="786" spans="1:5" x14ac:dyDescent="0.25">
      <c r="A786">
        <v>9188</v>
      </c>
      <c r="B786" t="s">
        <v>48</v>
      </c>
      <c r="C786">
        <v>3370</v>
      </c>
      <c r="D786" s="3" t="s">
        <v>310</v>
      </c>
      <c r="E786" t="s">
        <v>15</v>
      </c>
    </row>
    <row r="787" spans="1:5" x14ac:dyDescent="0.25">
      <c r="A787">
        <v>9201</v>
      </c>
      <c r="B787" t="s">
        <v>50</v>
      </c>
      <c r="C787">
        <v>4060</v>
      </c>
      <c r="D787" s="3" t="s">
        <v>305</v>
      </c>
      <c r="E787" t="s">
        <v>15</v>
      </c>
    </row>
    <row r="788" spans="1:5" x14ac:dyDescent="0.25">
      <c r="A788">
        <v>9201</v>
      </c>
      <c r="B788" t="s">
        <v>50</v>
      </c>
      <c r="C788">
        <v>410</v>
      </c>
      <c r="D788" s="3" t="s">
        <v>301</v>
      </c>
      <c r="E788" t="s">
        <v>15</v>
      </c>
    </row>
    <row r="789" spans="1:5" x14ac:dyDescent="0.25">
      <c r="A789">
        <v>9201</v>
      </c>
      <c r="B789" t="s">
        <v>50</v>
      </c>
      <c r="C789">
        <v>200</v>
      </c>
      <c r="D789" s="3" t="s">
        <v>309</v>
      </c>
      <c r="E789" t="s">
        <v>15</v>
      </c>
    </row>
    <row r="790" spans="1:5" x14ac:dyDescent="0.25">
      <c r="A790">
        <v>9211</v>
      </c>
      <c r="B790" t="s">
        <v>51</v>
      </c>
      <c r="C790">
        <v>4698</v>
      </c>
      <c r="D790" s="3" t="s">
        <v>305</v>
      </c>
      <c r="E790" t="s">
        <v>28</v>
      </c>
    </row>
    <row r="791" spans="1:5" x14ac:dyDescent="0.25">
      <c r="A791">
        <v>9214</v>
      </c>
      <c r="B791" t="s">
        <v>247</v>
      </c>
      <c r="C791">
        <v>1800</v>
      </c>
      <c r="D791" s="3" t="s">
        <v>305</v>
      </c>
      <c r="E791" t="s">
        <v>15</v>
      </c>
    </row>
    <row r="792" spans="1:5" x14ac:dyDescent="0.25">
      <c r="A792">
        <v>9214</v>
      </c>
      <c r="B792" t="s">
        <v>247</v>
      </c>
      <c r="C792">
        <v>1800</v>
      </c>
      <c r="D792" s="3" t="s">
        <v>305</v>
      </c>
      <c r="E792" t="s">
        <v>15</v>
      </c>
    </row>
    <row r="793" spans="1:5" x14ac:dyDescent="0.25">
      <c r="A793">
        <v>9229</v>
      </c>
      <c r="B793" t="s">
        <v>52</v>
      </c>
      <c r="C793">
        <v>328</v>
      </c>
      <c r="D793" s="3" t="s">
        <v>305</v>
      </c>
      <c r="E793" t="s">
        <v>28</v>
      </c>
    </row>
    <row r="794" spans="1:5" x14ac:dyDescent="0.25">
      <c r="A794">
        <v>9229</v>
      </c>
      <c r="B794" t="s">
        <v>52</v>
      </c>
      <c r="C794">
        <v>336</v>
      </c>
      <c r="D794" s="3" t="s">
        <v>308</v>
      </c>
      <c r="E794" t="s">
        <v>28</v>
      </c>
    </row>
    <row r="795" spans="1:5" x14ac:dyDescent="0.25">
      <c r="A795">
        <v>9229</v>
      </c>
      <c r="B795" t="s">
        <v>52</v>
      </c>
      <c r="C795">
        <v>192</v>
      </c>
      <c r="D795" s="3" t="s">
        <v>309</v>
      </c>
      <c r="E795" t="s">
        <v>28</v>
      </c>
    </row>
    <row r="796" spans="1:5" x14ac:dyDescent="0.25">
      <c r="A796">
        <v>9229</v>
      </c>
      <c r="B796" t="s">
        <v>52</v>
      </c>
      <c r="C796">
        <v>48</v>
      </c>
      <c r="D796" s="3" t="s">
        <v>309</v>
      </c>
      <c r="E796" t="s">
        <v>28</v>
      </c>
    </row>
    <row r="797" spans="1:5" x14ac:dyDescent="0.25">
      <c r="A797">
        <v>9244</v>
      </c>
      <c r="B797" t="s">
        <v>314</v>
      </c>
      <c r="C797">
        <v>612</v>
      </c>
      <c r="D797" s="3" t="s">
        <v>301</v>
      </c>
      <c r="E797" t="s">
        <v>15</v>
      </c>
    </row>
    <row r="798" spans="1:5" x14ac:dyDescent="0.25">
      <c r="A798">
        <v>2283</v>
      </c>
      <c r="B798" t="s">
        <v>152</v>
      </c>
      <c r="C798">
        <v>1368</v>
      </c>
      <c r="D798" s="3" t="s">
        <v>315</v>
      </c>
      <c r="E798" t="s">
        <v>7</v>
      </c>
    </row>
    <row r="799" spans="1:5" x14ac:dyDescent="0.25">
      <c r="A799">
        <v>2738</v>
      </c>
      <c r="B799" t="s">
        <v>16</v>
      </c>
      <c r="C799">
        <v>5040</v>
      </c>
      <c r="D799" s="3" t="s">
        <v>316</v>
      </c>
      <c r="E799" t="s">
        <v>15</v>
      </c>
    </row>
    <row r="800" spans="1:5" x14ac:dyDescent="0.25">
      <c r="A800">
        <v>2738</v>
      </c>
      <c r="B800" t="s">
        <v>16</v>
      </c>
      <c r="C800">
        <v>7200</v>
      </c>
      <c r="D800" s="3" t="s">
        <v>315</v>
      </c>
      <c r="E800" t="s">
        <v>15</v>
      </c>
    </row>
    <row r="801" spans="1:5" x14ac:dyDescent="0.25">
      <c r="A801">
        <v>2738</v>
      </c>
      <c r="B801" t="s">
        <v>16</v>
      </c>
      <c r="C801">
        <v>9360</v>
      </c>
      <c r="D801" s="3" t="s">
        <v>317</v>
      </c>
      <c r="E801" t="s">
        <v>15</v>
      </c>
    </row>
    <row r="802" spans="1:5" x14ac:dyDescent="0.25">
      <c r="A802">
        <v>2738</v>
      </c>
      <c r="B802" t="s">
        <v>16</v>
      </c>
      <c r="C802">
        <v>5040</v>
      </c>
      <c r="D802" s="3" t="s">
        <v>318</v>
      </c>
      <c r="E802" t="s">
        <v>15</v>
      </c>
    </row>
    <row r="803" spans="1:5" x14ac:dyDescent="0.25">
      <c r="A803">
        <v>2738</v>
      </c>
      <c r="B803" t="s">
        <v>16</v>
      </c>
      <c r="C803">
        <v>9360</v>
      </c>
      <c r="D803" s="3" t="s">
        <v>319</v>
      </c>
      <c r="E803" t="s">
        <v>15</v>
      </c>
    </row>
    <row r="804" spans="1:5" x14ac:dyDescent="0.25">
      <c r="A804">
        <v>4855</v>
      </c>
      <c r="B804" t="s">
        <v>242</v>
      </c>
      <c r="C804">
        <v>560</v>
      </c>
      <c r="D804" s="3" t="s">
        <v>315</v>
      </c>
      <c r="E804" t="s">
        <v>25</v>
      </c>
    </row>
    <row r="805" spans="1:5" x14ac:dyDescent="0.25">
      <c r="A805">
        <v>9001</v>
      </c>
      <c r="B805" t="s">
        <v>29</v>
      </c>
      <c r="C805">
        <v>4104</v>
      </c>
      <c r="D805" s="3" t="s">
        <v>315</v>
      </c>
      <c r="E805" t="s">
        <v>28</v>
      </c>
    </row>
    <row r="806" spans="1:5" x14ac:dyDescent="0.25">
      <c r="A806">
        <v>9001</v>
      </c>
      <c r="B806" t="s">
        <v>29</v>
      </c>
      <c r="C806">
        <v>3600</v>
      </c>
      <c r="D806" s="3" t="s">
        <v>318</v>
      </c>
      <c r="E806" t="s">
        <v>28</v>
      </c>
    </row>
    <row r="807" spans="1:5" x14ac:dyDescent="0.25">
      <c r="A807">
        <v>9001</v>
      </c>
      <c r="B807" t="s">
        <v>29</v>
      </c>
      <c r="C807">
        <v>8352</v>
      </c>
      <c r="D807" s="3" t="s">
        <v>319</v>
      </c>
      <c r="E807" t="s">
        <v>28</v>
      </c>
    </row>
    <row r="808" spans="1:5" x14ac:dyDescent="0.25">
      <c r="A808">
        <v>9003</v>
      </c>
      <c r="B808" t="s">
        <v>32</v>
      </c>
      <c r="C808">
        <v>6336</v>
      </c>
      <c r="D808" s="3" t="s">
        <v>320</v>
      </c>
      <c r="E808" t="s">
        <v>28</v>
      </c>
    </row>
    <row r="809" spans="1:5" x14ac:dyDescent="0.25">
      <c r="A809">
        <v>9003</v>
      </c>
      <c r="B809" t="s">
        <v>32</v>
      </c>
      <c r="C809">
        <v>2304</v>
      </c>
      <c r="D809" s="3" t="s">
        <v>315</v>
      </c>
      <c r="E809" t="s">
        <v>28</v>
      </c>
    </row>
    <row r="810" spans="1:5" x14ac:dyDescent="0.25">
      <c r="A810">
        <v>9003</v>
      </c>
      <c r="B810" t="s">
        <v>32</v>
      </c>
      <c r="C810">
        <v>828</v>
      </c>
      <c r="D810" s="3" t="s">
        <v>318</v>
      </c>
      <c r="E810" t="s">
        <v>28</v>
      </c>
    </row>
    <row r="811" spans="1:5" x14ac:dyDescent="0.25">
      <c r="A811">
        <v>9003</v>
      </c>
      <c r="B811" t="s">
        <v>32</v>
      </c>
      <c r="C811">
        <v>3276</v>
      </c>
      <c r="D811" s="3" t="s">
        <v>319</v>
      </c>
      <c r="E811" t="s">
        <v>28</v>
      </c>
    </row>
    <row r="812" spans="1:5" x14ac:dyDescent="0.25">
      <c r="A812">
        <v>9005</v>
      </c>
      <c r="B812" t="s">
        <v>34</v>
      </c>
      <c r="C812">
        <v>576</v>
      </c>
      <c r="D812" s="3" t="s">
        <v>319</v>
      </c>
      <c r="E812" t="s">
        <v>28</v>
      </c>
    </row>
    <row r="813" spans="1:5" x14ac:dyDescent="0.25">
      <c r="A813">
        <v>9007</v>
      </c>
      <c r="B813" t="s">
        <v>230</v>
      </c>
      <c r="C813">
        <v>3888</v>
      </c>
      <c r="D813" s="3" t="s">
        <v>318</v>
      </c>
      <c r="E813" t="s">
        <v>28</v>
      </c>
    </row>
    <row r="814" spans="1:5" x14ac:dyDescent="0.25">
      <c r="A814">
        <v>9009</v>
      </c>
      <c r="B814" t="s">
        <v>77</v>
      </c>
      <c r="C814">
        <v>1008</v>
      </c>
      <c r="D814" s="3" t="s">
        <v>320</v>
      </c>
      <c r="E814" t="s">
        <v>28</v>
      </c>
    </row>
    <row r="815" spans="1:5" x14ac:dyDescent="0.25">
      <c r="A815">
        <v>9011</v>
      </c>
      <c r="B815" t="s">
        <v>78</v>
      </c>
      <c r="C815">
        <v>5328</v>
      </c>
      <c r="D815" s="3" t="s">
        <v>318</v>
      </c>
      <c r="E815" t="s">
        <v>28</v>
      </c>
    </row>
    <row r="816" spans="1:5" x14ac:dyDescent="0.25">
      <c r="A816">
        <v>9013</v>
      </c>
      <c r="B816" t="s">
        <v>35</v>
      </c>
      <c r="C816">
        <v>648</v>
      </c>
      <c r="D816" s="3" t="s">
        <v>320</v>
      </c>
      <c r="E816" t="s">
        <v>28</v>
      </c>
    </row>
    <row r="817" spans="1:5" x14ac:dyDescent="0.25">
      <c r="A817">
        <v>9014</v>
      </c>
      <c r="B817" t="s">
        <v>79</v>
      </c>
      <c r="C817">
        <v>840</v>
      </c>
      <c r="D817" s="3" t="s">
        <v>315</v>
      </c>
      <c r="E817" t="s">
        <v>28</v>
      </c>
    </row>
    <row r="818" spans="1:5" x14ac:dyDescent="0.25">
      <c r="A818">
        <v>9015</v>
      </c>
      <c r="B818" t="s">
        <v>251</v>
      </c>
      <c r="C818">
        <v>432</v>
      </c>
      <c r="D818" s="3" t="s">
        <v>315</v>
      </c>
      <c r="E818" t="s">
        <v>28</v>
      </c>
    </row>
    <row r="819" spans="1:5" x14ac:dyDescent="0.25">
      <c r="A819">
        <v>9018</v>
      </c>
      <c r="B819" t="s">
        <v>36</v>
      </c>
      <c r="C819">
        <v>4032</v>
      </c>
      <c r="D819" s="3" t="s">
        <v>315</v>
      </c>
      <c r="E819" t="s">
        <v>28</v>
      </c>
    </row>
    <row r="820" spans="1:5" x14ac:dyDescent="0.25">
      <c r="A820">
        <v>9019</v>
      </c>
      <c r="B820" t="s">
        <v>37</v>
      </c>
      <c r="C820">
        <v>2592</v>
      </c>
      <c r="D820" s="3" t="s">
        <v>320</v>
      </c>
      <c r="E820" t="s">
        <v>28</v>
      </c>
    </row>
    <row r="821" spans="1:5" x14ac:dyDescent="0.25">
      <c r="A821">
        <v>9021</v>
      </c>
      <c r="B821" t="s">
        <v>38</v>
      </c>
      <c r="C821">
        <v>720</v>
      </c>
      <c r="D821" s="3" t="s">
        <v>319</v>
      </c>
      <c r="E821" t="s">
        <v>28</v>
      </c>
    </row>
    <row r="822" spans="1:5" x14ac:dyDescent="0.25">
      <c r="A822">
        <v>9028</v>
      </c>
      <c r="B822" t="s">
        <v>119</v>
      </c>
      <c r="C822">
        <v>792</v>
      </c>
      <c r="D822" s="3" t="s">
        <v>315</v>
      </c>
      <c r="E822" t="s">
        <v>28</v>
      </c>
    </row>
    <row r="823" spans="1:5" x14ac:dyDescent="0.25">
      <c r="A823">
        <v>9031</v>
      </c>
      <c r="B823" t="s">
        <v>42</v>
      </c>
      <c r="C823">
        <v>2496</v>
      </c>
      <c r="D823" s="3" t="s">
        <v>317</v>
      </c>
      <c r="E823" t="s">
        <v>43</v>
      </c>
    </row>
    <row r="824" spans="1:5" x14ac:dyDescent="0.25">
      <c r="A824">
        <v>9041</v>
      </c>
      <c r="B824" t="s">
        <v>272</v>
      </c>
      <c r="C824">
        <v>252</v>
      </c>
      <c r="D824" s="3" t="s">
        <v>317</v>
      </c>
      <c r="E824" t="s">
        <v>174</v>
      </c>
    </row>
    <row r="825" spans="1:5" x14ac:dyDescent="0.25">
      <c r="A825">
        <v>9044</v>
      </c>
      <c r="B825" t="s">
        <v>296</v>
      </c>
      <c r="C825">
        <v>300</v>
      </c>
      <c r="D825" s="3" t="s">
        <v>317</v>
      </c>
      <c r="E825" t="s">
        <v>174</v>
      </c>
    </row>
    <row r="826" spans="1:5" x14ac:dyDescent="0.25">
      <c r="A826">
        <v>9053</v>
      </c>
      <c r="B826" t="s">
        <v>44</v>
      </c>
      <c r="C826">
        <v>300</v>
      </c>
      <c r="D826" s="3" t="s">
        <v>316</v>
      </c>
      <c r="E826" t="s">
        <v>45</v>
      </c>
    </row>
    <row r="827" spans="1:5" x14ac:dyDescent="0.25">
      <c r="A827">
        <v>9053</v>
      </c>
      <c r="B827" t="s">
        <v>44</v>
      </c>
      <c r="C827">
        <v>3730</v>
      </c>
      <c r="D827" s="3" t="s">
        <v>320</v>
      </c>
      <c r="E827" t="s">
        <v>45</v>
      </c>
    </row>
    <row r="828" spans="1:5" x14ac:dyDescent="0.25">
      <c r="A828">
        <v>9053</v>
      </c>
      <c r="B828" t="s">
        <v>44</v>
      </c>
      <c r="C828">
        <v>1600</v>
      </c>
      <c r="D828" s="3" t="s">
        <v>318</v>
      </c>
      <c r="E828" t="s">
        <v>45</v>
      </c>
    </row>
    <row r="829" spans="1:5" x14ac:dyDescent="0.25">
      <c r="A829">
        <v>2283</v>
      </c>
      <c r="B829" t="s">
        <v>152</v>
      </c>
      <c r="C829">
        <v>560</v>
      </c>
      <c r="D829" s="3" t="s">
        <v>321</v>
      </c>
      <c r="E829" t="s">
        <v>7</v>
      </c>
    </row>
    <row r="830" spans="1:5" x14ac:dyDescent="0.25">
      <c r="A830">
        <v>2283</v>
      </c>
      <c r="B830" t="s">
        <v>152</v>
      </c>
      <c r="C830">
        <v>1008</v>
      </c>
      <c r="D830" s="3" t="s">
        <v>322</v>
      </c>
      <c r="E830" t="s">
        <v>7</v>
      </c>
    </row>
    <row r="831" spans="1:5" x14ac:dyDescent="0.25">
      <c r="A831">
        <v>2543</v>
      </c>
      <c r="B831" t="s">
        <v>161</v>
      </c>
      <c r="C831">
        <v>560</v>
      </c>
      <c r="D831" s="3" t="s">
        <v>323</v>
      </c>
      <c r="E831" t="s">
        <v>7</v>
      </c>
    </row>
    <row r="832" spans="1:5" x14ac:dyDescent="0.25">
      <c r="A832">
        <v>2543</v>
      </c>
      <c r="B832" t="s">
        <v>161</v>
      </c>
      <c r="C832">
        <v>560</v>
      </c>
      <c r="D832" s="3" t="s">
        <v>324</v>
      </c>
      <c r="E832" t="s">
        <v>7</v>
      </c>
    </row>
    <row r="833" spans="1:5" x14ac:dyDescent="0.25">
      <c r="A833">
        <v>2553</v>
      </c>
      <c r="B833" t="s">
        <v>162</v>
      </c>
      <c r="C833">
        <v>900</v>
      </c>
      <c r="D833" s="3" t="s">
        <v>325</v>
      </c>
      <c r="E833" t="s">
        <v>7</v>
      </c>
    </row>
    <row r="834" spans="1:5" x14ac:dyDescent="0.25">
      <c r="A834">
        <v>2736</v>
      </c>
      <c r="B834" t="s">
        <v>62</v>
      </c>
      <c r="C834">
        <v>8784</v>
      </c>
      <c r="D834" s="3" t="s">
        <v>322</v>
      </c>
      <c r="E834" t="s">
        <v>15</v>
      </c>
    </row>
    <row r="835" spans="1:5" x14ac:dyDescent="0.25">
      <c r="A835">
        <v>2738</v>
      </c>
      <c r="B835" t="s">
        <v>16</v>
      </c>
      <c r="C835">
        <v>6480</v>
      </c>
      <c r="D835" s="3" t="s">
        <v>326</v>
      </c>
      <c r="E835" t="s">
        <v>15</v>
      </c>
    </row>
    <row r="836" spans="1:5" x14ac:dyDescent="0.25">
      <c r="A836">
        <v>2738</v>
      </c>
      <c r="B836" t="s">
        <v>16</v>
      </c>
      <c r="C836">
        <v>5040</v>
      </c>
      <c r="D836" s="3" t="s">
        <v>323</v>
      </c>
      <c r="E836" t="s">
        <v>15</v>
      </c>
    </row>
    <row r="837" spans="1:5" x14ac:dyDescent="0.25">
      <c r="A837">
        <v>2738</v>
      </c>
      <c r="B837" t="s">
        <v>16</v>
      </c>
      <c r="C837">
        <v>6885</v>
      </c>
      <c r="D837" s="3" t="s">
        <v>325</v>
      </c>
      <c r="E837" t="s">
        <v>15</v>
      </c>
    </row>
    <row r="838" spans="1:5" x14ac:dyDescent="0.25">
      <c r="A838">
        <v>2738</v>
      </c>
      <c r="B838" t="s">
        <v>16</v>
      </c>
      <c r="C838">
        <v>7080</v>
      </c>
      <c r="D838" s="3" t="s">
        <v>327</v>
      </c>
      <c r="E838" t="s">
        <v>15</v>
      </c>
    </row>
    <row r="839" spans="1:5" x14ac:dyDescent="0.25">
      <c r="A839">
        <v>2738</v>
      </c>
      <c r="B839" t="s">
        <v>16</v>
      </c>
      <c r="C839">
        <v>5475</v>
      </c>
      <c r="D839" s="3" t="s">
        <v>328</v>
      </c>
      <c r="E839" t="s">
        <v>15</v>
      </c>
    </row>
    <row r="840" spans="1:5" x14ac:dyDescent="0.25">
      <c r="A840">
        <v>4808</v>
      </c>
      <c r="B840" t="s">
        <v>241</v>
      </c>
      <c r="C840">
        <v>1888</v>
      </c>
      <c r="D840" s="3" t="s">
        <v>321</v>
      </c>
      <c r="E840" t="s">
        <v>25</v>
      </c>
    </row>
    <row r="841" spans="1:5" x14ac:dyDescent="0.25">
      <c r="A841">
        <v>4808</v>
      </c>
      <c r="B841" t="s">
        <v>241</v>
      </c>
      <c r="C841">
        <v>1192</v>
      </c>
      <c r="D841" s="3" t="s">
        <v>322</v>
      </c>
      <c r="E841" t="s">
        <v>25</v>
      </c>
    </row>
    <row r="842" spans="1:5" x14ac:dyDescent="0.25">
      <c r="A842">
        <v>4855</v>
      </c>
      <c r="B842" t="s">
        <v>242</v>
      </c>
      <c r="C842">
        <v>2264</v>
      </c>
      <c r="D842" s="3" t="s">
        <v>323</v>
      </c>
      <c r="E842" t="s">
        <v>25</v>
      </c>
    </row>
    <row r="843" spans="1:5" x14ac:dyDescent="0.25">
      <c r="A843">
        <v>4855</v>
      </c>
      <c r="B843" t="s">
        <v>242</v>
      </c>
      <c r="C843">
        <v>3296</v>
      </c>
      <c r="D843" s="3" t="s">
        <v>327</v>
      </c>
      <c r="E843" t="s">
        <v>25</v>
      </c>
    </row>
    <row r="844" spans="1:5" x14ac:dyDescent="0.25">
      <c r="A844">
        <v>4855</v>
      </c>
      <c r="B844" t="s">
        <v>242</v>
      </c>
      <c r="C844">
        <v>1792</v>
      </c>
      <c r="D844" s="3" t="s">
        <v>324</v>
      </c>
      <c r="E844" t="s">
        <v>25</v>
      </c>
    </row>
    <row r="845" spans="1:5" x14ac:dyDescent="0.25">
      <c r="A845">
        <v>9000</v>
      </c>
      <c r="B845" t="s">
        <v>27</v>
      </c>
      <c r="C845">
        <v>8640</v>
      </c>
      <c r="D845" s="3" t="s">
        <v>323</v>
      </c>
      <c r="E845" t="s">
        <v>28</v>
      </c>
    </row>
    <row r="846" spans="1:5" x14ac:dyDescent="0.25">
      <c r="A846">
        <v>9000</v>
      </c>
      <c r="B846" t="s">
        <v>27</v>
      </c>
      <c r="C846">
        <v>10800</v>
      </c>
      <c r="D846" s="3" t="s">
        <v>325</v>
      </c>
      <c r="E846" t="s">
        <v>28</v>
      </c>
    </row>
    <row r="847" spans="1:5" x14ac:dyDescent="0.25">
      <c r="A847">
        <v>9000</v>
      </c>
      <c r="B847" t="s">
        <v>27</v>
      </c>
      <c r="C847">
        <v>9045</v>
      </c>
      <c r="D847" s="3" t="s">
        <v>321</v>
      </c>
      <c r="E847" t="s">
        <v>28</v>
      </c>
    </row>
    <row r="848" spans="1:5" x14ac:dyDescent="0.25">
      <c r="A848">
        <v>9000</v>
      </c>
      <c r="B848" t="s">
        <v>27</v>
      </c>
      <c r="C848">
        <v>10395</v>
      </c>
      <c r="D848" s="3" t="s">
        <v>324</v>
      </c>
      <c r="E848" t="s">
        <v>28</v>
      </c>
    </row>
    <row r="849" spans="1:5" x14ac:dyDescent="0.25">
      <c r="A849">
        <v>9001</v>
      </c>
      <c r="B849" t="s">
        <v>29</v>
      </c>
      <c r="C849">
        <v>2304</v>
      </c>
      <c r="D849" s="3" t="s">
        <v>323</v>
      </c>
      <c r="E849" t="s">
        <v>28</v>
      </c>
    </row>
    <row r="850" spans="1:5" x14ac:dyDescent="0.25">
      <c r="A850">
        <v>9001</v>
      </c>
      <c r="B850" t="s">
        <v>29</v>
      </c>
      <c r="C850">
        <v>9072</v>
      </c>
      <c r="D850" s="3" t="s">
        <v>327</v>
      </c>
      <c r="E850" t="s">
        <v>28</v>
      </c>
    </row>
    <row r="851" spans="1:5" x14ac:dyDescent="0.25">
      <c r="A851">
        <v>9001</v>
      </c>
      <c r="B851" t="s">
        <v>29</v>
      </c>
      <c r="C851">
        <v>10044</v>
      </c>
      <c r="D851" s="3" t="s">
        <v>329</v>
      </c>
      <c r="E851" t="s">
        <v>28</v>
      </c>
    </row>
    <row r="852" spans="1:5" x14ac:dyDescent="0.25">
      <c r="A852">
        <v>9001</v>
      </c>
      <c r="B852" t="s">
        <v>29</v>
      </c>
      <c r="C852">
        <v>1044</v>
      </c>
      <c r="D852" s="3" t="s">
        <v>328</v>
      </c>
      <c r="E852" t="s">
        <v>28</v>
      </c>
    </row>
    <row r="853" spans="1:5" x14ac:dyDescent="0.25">
      <c r="A853">
        <v>9003</v>
      </c>
      <c r="B853" t="s">
        <v>32</v>
      </c>
      <c r="C853">
        <v>2304</v>
      </c>
      <c r="D853" s="3" t="s">
        <v>324</v>
      </c>
      <c r="E853" t="s">
        <v>28</v>
      </c>
    </row>
    <row r="854" spans="1:5" x14ac:dyDescent="0.25">
      <c r="A854">
        <v>9003</v>
      </c>
      <c r="B854" t="s">
        <v>32</v>
      </c>
      <c r="C854">
        <v>2304</v>
      </c>
      <c r="D854" s="3" t="s">
        <v>329</v>
      </c>
      <c r="E854" t="s">
        <v>28</v>
      </c>
    </row>
    <row r="855" spans="1:5" x14ac:dyDescent="0.25">
      <c r="A855">
        <v>9003</v>
      </c>
      <c r="B855" t="s">
        <v>32</v>
      </c>
      <c r="C855">
        <v>5688</v>
      </c>
      <c r="D855" s="3" t="s">
        <v>322</v>
      </c>
      <c r="E855" t="s">
        <v>28</v>
      </c>
    </row>
    <row r="856" spans="1:5" x14ac:dyDescent="0.25">
      <c r="A856">
        <v>9003</v>
      </c>
      <c r="B856" t="s">
        <v>32</v>
      </c>
      <c r="C856">
        <v>3096</v>
      </c>
      <c r="D856" s="3" t="s">
        <v>328</v>
      </c>
      <c r="E856" t="s">
        <v>28</v>
      </c>
    </row>
    <row r="857" spans="1:5" x14ac:dyDescent="0.25">
      <c r="A857">
        <v>9004</v>
      </c>
      <c r="B857" t="s">
        <v>33</v>
      </c>
      <c r="C857">
        <v>972</v>
      </c>
      <c r="D857" s="3" t="s">
        <v>323</v>
      </c>
      <c r="E857" t="s">
        <v>28</v>
      </c>
    </row>
    <row r="858" spans="1:5" x14ac:dyDescent="0.25">
      <c r="A858">
        <v>9004</v>
      </c>
      <c r="B858" t="s">
        <v>33</v>
      </c>
      <c r="C858">
        <v>2952</v>
      </c>
      <c r="D858" s="3" t="s">
        <v>322</v>
      </c>
      <c r="E858" t="s">
        <v>28</v>
      </c>
    </row>
    <row r="859" spans="1:5" x14ac:dyDescent="0.25">
      <c r="A859">
        <v>9004</v>
      </c>
      <c r="B859" t="s">
        <v>33</v>
      </c>
      <c r="C859">
        <v>2304</v>
      </c>
      <c r="D859" s="3" t="s">
        <v>328</v>
      </c>
      <c r="E859" t="s">
        <v>28</v>
      </c>
    </row>
    <row r="860" spans="1:5" x14ac:dyDescent="0.25">
      <c r="A860">
        <v>9011</v>
      </c>
      <c r="B860" t="s">
        <v>78</v>
      </c>
      <c r="C860">
        <v>1872</v>
      </c>
      <c r="D860" s="3" t="s">
        <v>325</v>
      </c>
      <c r="E860" t="s">
        <v>28</v>
      </c>
    </row>
    <row r="861" spans="1:5" x14ac:dyDescent="0.25">
      <c r="A861">
        <v>9013</v>
      </c>
      <c r="B861" t="s">
        <v>35</v>
      </c>
      <c r="C861">
        <v>828</v>
      </c>
      <c r="D861" s="3" t="s">
        <v>325</v>
      </c>
      <c r="E861" t="s">
        <v>28</v>
      </c>
    </row>
    <row r="862" spans="1:5" x14ac:dyDescent="0.25">
      <c r="A862">
        <v>9013</v>
      </c>
      <c r="B862" t="s">
        <v>35</v>
      </c>
      <c r="C862">
        <v>2304</v>
      </c>
      <c r="D862" s="3" t="s">
        <v>322</v>
      </c>
      <c r="E862" t="s">
        <v>28</v>
      </c>
    </row>
    <row r="863" spans="1:5" x14ac:dyDescent="0.25">
      <c r="A863">
        <v>9018</v>
      </c>
      <c r="B863" t="s">
        <v>36</v>
      </c>
      <c r="C863">
        <v>756</v>
      </c>
      <c r="D863" s="3" t="s">
        <v>327</v>
      </c>
      <c r="E863" t="s">
        <v>28</v>
      </c>
    </row>
    <row r="864" spans="1:5" x14ac:dyDescent="0.25">
      <c r="A864">
        <v>9021</v>
      </c>
      <c r="B864" t="s">
        <v>38</v>
      </c>
      <c r="C864">
        <v>756</v>
      </c>
      <c r="D864" s="3" t="s">
        <v>327</v>
      </c>
      <c r="E864" t="s">
        <v>28</v>
      </c>
    </row>
    <row r="865" spans="1:5" x14ac:dyDescent="0.25">
      <c r="A865">
        <v>9021</v>
      </c>
      <c r="B865" t="s">
        <v>38</v>
      </c>
      <c r="C865">
        <v>2196</v>
      </c>
      <c r="D865" s="3" t="s">
        <v>328</v>
      </c>
      <c r="E865" t="s">
        <v>28</v>
      </c>
    </row>
    <row r="866" spans="1:5" x14ac:dyDescent="0.25">
      <c r="A866">
        <v>9026</v>
      </c>
      <c r="B866" t="s">
        <v>80</v>
      </c>
      <c r="C866">
        <v>2304</v>
      </c>
      <c r="D866" s="3" t="s">
        <v>327</v>
      </c>
      <c r="E866" t="s">
        <v>28</v>
      </c>
    </row>
    <row r="867" spans="1:5" x14ac:dyDescent="0.25">
      <c r="A867">
        <v>9026</v>
      </c>
      <c r="B867" t="s">
        <v>80</v>
      </c>
      <c r="C867">
        <v>1224</v>
      </c>
      <c r="D867" s="3" t="s">
        <v>322</v>
      </c>
      <c r="E867" t="s">
        <v>28</v>
      </c>
    </row>
    <row r="868" spans="1:5" x14ac:dyDescent="0.25">
      <c r="A868">
        <v>9026</v>
      </c>
      <c r="B868" t="s">
        <v>80</v>
      </c>
      <c r="C868">
        <v>3384</v>
      </c>
      <c r="D868" s="3" t="s">
        <v>328</v>
      </c>
      <c r="E868" t="s">
        <v>28</v>
      </c>
    </row>
    <row r="869" spans="1:5" x14ac:dyDescent="0.25">
      <c r="A869">
        <v>9029</v>
      </c>
      <c r="B869" t="s">
        <v>41</v>
      </c>
      <c r="C869">
        <v>288</v>
      </c>
      <c r="D869" s="3" t="s">
        <v>322</v>
      </c>
      <c r="E869" t="s">
        <v>28</v>
      </c>
    </row>
    <row r="870" spans="1:5" x14ac:dyDescent="0.25">
      <c r="A870">
        <v>9031</v>
      </c>
      <c r="B870" t="s">
        <v>42</v>
      </c>
      <c r="C870">
        <v>1704</v>
      </c>
      <c r="D870" s="3" t="s">
        <v>326</v>
      </c>
      <c r="E870" t="s">
        <v>43</v>
      </c>
    </row>
    <row r="871" spans="1:5" x14ac:dyDescent="0.25">
      <c r="A871">
        <v>9034</v>
      </c>
      <c r="B871" t="s">
        <v>82</v>
      </c>
      <c r="C871">
        <v>5760</v>
      </c>
      <c r="D871" s="3" t="s">
        <v>330</v>
      </c>
      <c r="E871" t="s">
        <v>15</v>
      </c>
    </row>
    <row r="872" spans="1:5" x14ac:dyDescent="0.25">
      <c r="A872">
        <v>9034</v>
      </c>
      <c r="B872" t="s">
        <v>82</v>
      </c>
      <c r="C872">
        <v>7200</v>
      </c>
      <c r="D872" s="3" t="s">
        <v>324</v>
      </c>
      <c r="E872" t="s">
        <v>15</v>
      </c>
    </row>
    <row r="873" spans="1:5" x14ac:dyDescent="0.25">
      <c r="A873">
        <v>9034</v>
      </c>
      <c r="B873" t="s">
        <v>82</v>
      </c>
      <c r="C873">
        <v>9360</v>
      </c>
      <c r="D873" s="3" t="s">
        <v>329</v>
      </c>
      <c r="E873" t="s">
        <v>15</v>
      </c>
    </row>
    <row r="874" spans="1:5" x14ac:dyDescent="0.25">
      <c r="A874">
        <v>9042</v>
      </c>
      <c r="B874" t="s">
        <v>312</v>
      </c>
      <c r="C874">
        <v>268</v>
      </c>
      <c r="D874" s="3" t="s">
        <v>326</v>
      </c>
      <c r="E874" t="s">
        <v>174</v>
      </c>
    </row>
    <row r="875" spans="1:5" x14ac:dyDescent="0.25">
      <c r="A875">
        <v>9045</v>
      </c>
      <c r="B875" t="s">
        <v>297</v>
      </c>
      <c r="C875">
        <v>188</v>
      </c>
      <c r="D875" s="3" t="s">
        <v>326</v>
      </c>
      <c r="E875" t="s">
        <v>174</v>
      </c>
    </row>
    <row r="876" spans="1:5" x14ac:dyDescent="0.25">
      <c r="A876">
        <v>9053</v>
      </c>
      <c r="B876" t="s">
        <v>44</v>
      </c>
      <c r="C876">
        <v>2140</v>
      </c>
      <c r="D876" s="3" t="s">
        <v>321</v>
      </c>
      <c r="E876" t="s">
        <v>45</v>
      </c>
    </row>
    <row r="877" spans="1:5" x14ac:dyDescent="0.25">
      <c r="A877">
        <v>9053</v>
      </c>
      <c r="B877" t="s">
        <v>44</v>
      </c>
      <c r="C877">
        <v>320</v>
      </c>
      <c r="D877" s="3" t="s">
        <v>328</v>
      </c>
      <c r="E877" t="s">
        <v>45</v>
      </c>
    </row>
    <row r="878" spans="1:5" x14ac:dyDescent="0.25">
      <c r="A878">
        <v>9188</v>
      </c>
      <c r="B878" t="s">
        <v>48</v>
      </c>
      <c r="C878">
        <v>2560</v>
      </c>
      <c r="D878" s="3" t="s">
        <v>321</v>
      </c>
      <c r="E878" t="s">
        <v>15</v>
      </c>
    </row>
    <row r="879" spans="1:5" x14ac:dyDescent="0.25">
      <c r="A879">
        <v>9188</v>
      </c>
      <c r="B879" t="s">
        <v>48</v>
      </c>
      <c r="C879">
        <v>2810</v>
      </c>
      <c r="D879" s="3" t="s">
        <v>328</v>
      </c>
      <c r="E879" t="s">
        <v>15</v>
      </c>
    </row>
    <row r="880" spans="1:5" x14ac:dyDescent="0.25">
      <c r="A880">
        <v>9201</v>
      </c>
      <c r="B880" t="s">
        <v>50</v>
      </c>
      <c r="C880">
        <v>3600</v>
      </c>
      <c r="D880" s="3" t="s">
        <v>326</v>
      </c>
      <c r="E880" t="s">
        <v>15</v>
      </c>
    </row>
    <row r="881" spans="1:5" x14ac:dyDescent="0.25">
      <c r="A881">
        <v>9201</v>
      </c>
      <c r="B881" t="s">
        <v>50</v>
      </c>
      <c r="C881">
        <v>600</v>
      </c>
      <c r="D881" s="3" t="s">
        <v>323</v>
      </c>
      <c r="E881" t="s">
        <v>15</v>
      </c>
    </row>
    <row r="882" spans="1:5" x14ac:dyDescent="0.25">
      <c r="A882">
        <v>9229</v>
      </c>
      <c r="B882" t="s">
        <v>52</v>
      </c>
      <c r="C882">
        <v>40</v>
      </c>
      <c r="D882" s="3" t="s">
        <v>326</v>
      </c>
      <c r="E882" t="s">
        <v>28</v>
      </c>
    </row>
    <row r="883" spans="1:5" x14ac:dyDescent="0.25">
      <c r="A883">
        <v>9237</v>
      </c>
      <c r="B883" t="s">
        <v>53</v>
      </c>
      <c r="C883">
        <v>804</v>
      </c>
      <c r="D883" s="3" t="s">
        <v>325</v>
      </c>
      <c r="E883" t="s">
        <v>15</v>
      </c>
    </row>
    <row r="884" spans="1:5" x14ac:dyDescent="0.25">
      <c r="A884">
        <v>9237</v>
      </c>
      <c r="B884" t="s">
        <v>53</v>
      </c>
      <c r="C884">
        <v>576</v>
      </c>
      <c r="D884" s="3" t="s">
        <v>324</v>
      </c>
      <c r="E884" t="s">
        <v>15</v>
      </c>
    </row>
    <row r="885" spans="1:5" x14ac:dyDescent="0.25">
      <c r="A885">
        <v>9238</v>
      </c>
      <c r="B885" t="s">
        <v>121</v>
      </c>
      <c r="C885">
        <v>296</v>
      </c>
      <c r="D885" s="3" t="s">
        <v>326</v>
      </c>
      <c r="E885" t="s">
        <v>28</v>
      </c>
    </row>
    <row r="886" spans="1:5" x14ac:dyDescent="0.25">
      <c r="A886">
        <v>2283</v>
      </c>
      <c r="B886" t="s">
        <v>152</v>
      </c>
      <c r="C886">
        <v>3416</v>
      </c>
      <c r="D886" s="3" t="s">
        <v>331</v>
      </c>
      <c r="E886" t="s">
        <v>7</v>
      </c>
    </row>
    <row r="887" spans="1:5" x14ac:dyDescent="0.25">
      <c r="A887">
        <v>2285</v>
      </c>
      <c r="B887" t="s">
        <v>299</v>
      </c>
      <c r="C887">
        <v>312</v>
      </c>
      <c r="D887" s="3" t="s">
        <v>332</v>
      </c>
      <c r="E887" t="s">
        <v>7</v>
      </c>
    </row>
    <row r="888" spans="1:5" x14ac:dyDescent="0.25">
      <c r="A888">
        <v>2736</v>
      </c>
      <c r="B888" t="s">
        <v>62</v>
      </c>
      <c r="C888">
        <v>912</v>
      </c>
      <c r="D888" s="3" t="s">
        <v>333</v>
      </c>
      <c r="E888" t="s">
        <v>15</v>
      </c>
    </row>
    <row r="889" spans="1:5" x14ac:dyDescent="0.25">
      <c r="A889">
        <v>2736</v>
      </c>
      <c r="B889" t="s">
        <v>62</v>
      </c>
      <c r="C889">
        <v>6696</v>
      </c>
      <c r="D889" s="3" t="s">
        <v>334</v>
      </c>
      <c r="E889" t="s">
        <v>15</v>
      </c>
    </row>
    <row r="890" spans="1:5" x14ac:dyDescent="0.25">
      <c r="A890">
        <v>2736</v>
      </c>
      <c r="B890" t="s">
        <v>62</v>
      </c>
      <c r="C890">
        <v>5544</v>
      </c>
      <c r="D890" s="3" t="s">
        <v>331</v>
      </c>
      <c r="E890" t="s">
        <v>15</v>
      </c>
    </row>
    <row r="891" spans="1:5" x14ac:dyDescent="0.25">
      <c r="A891">
        <v>2738</v>
      </c>
      <c r="B891" t="s">
        <v>16</v>
      </c>
      <c r="C891">
        <v>5760</v>
      </c>
      <c r="D891" s="3" t="s">
        <v>335</v>
      </c>
      <c r="E891" t="s">
        <v>15</v>
      </c>
    </row>
    <row r="892" spans="1:5" x14ac:dyDescent="0.25">
      <c r="A892">
        <v>2738</v>
      </c>
      <c r="B892" t="s">
        <v>16</v>
      </c>
      <c r="C892">
        <v>2160</v>
      </c>
      <c r="D892" s="3" t="s">
        <v>332</v>
      </c>
      <c r="E892" t="s">
        <v>15</v>
      </c>
    </row>
    <row r="893" spans="1:5" x14ac:dyDescent="0.25">
      <c r="A893">
        <v>2738</v>
      </c>
      <c r="B893" t="s">
        <v>16</v>
      </c>
      <c r="C893">
        <v>7560</v>
      </c>
      <c r="D893" s="3" t="s">
        <v>336</v>
      </c>
      <c r="E893" t="s">
        <v>15</v>
      </c>
    </row>
    <row r="894" spans="1:5" x14ac:dyDescent="0.25">
      <c r="A894">
        <v>2738</v>
      </c>
      <c r="B894" t="s">
        <v>16</v>
      </c>
      <c r="C894">
        <v>5400</v>
      </c>
      <c r="D894" s="3" t="s">
        <v>337</v>
      </c>
      <c r="E894" t="s">
        <v>15</v>
      </c>
    </row>
    <row r="895" spans="1:5" x14ac:dyDescent="0.25">
      <c r="A895">
        <v>2738</v>
      </c>
      <c r="B895" t="s">
        <v>16</v>
      </c>
      <c r="C895">
        <v>10080</v>
      </c>
      <c r="D895" s="3" t="s">
        <v>338</v>
      </c>
      <c r="E895" t="s">
        <v>15</v>
      </c>
    </row>
    <row r="896" spans="1:5" x14ac:dyDescent="0.25">
      <c r="A896">
        <v>2738</v>
      </c>
      <c r="B896" t="s">
        <v>16</v>
      </c>
      <c r="C896">
        <v>5760</v>
      </c>
      <c r="D896" s="3" t="s">
        <v>333</v>
      </c>
      <c r="E896" t="s">
        <v>15</v>
      </c>
    </row>
    <row r="897" spans="1:5" x14ac:dyDescent="0.25">
      <c r="A897">
        <v>2738</v>
      </c>
      <c r="B897" t="s">
        <v>16</v>
      </c>
      <c r="C897">
        <v>1440</v>
      </c>
      <c r="D897" s="3" t="s">
        <v>334</v>
      </c>
      <c r="E897" t="s">
        <v>15</v>
      </c>
    </row>
    <row r="898" spans="1:5" x14ac:dyDescent="0.25">
      <c r="A898">
        <v>2738</v>
      </c>
      <c r="B898" t="s">
        <v>16</v>
      </c>
      <c r="C898">
        <v>720</v>
      </c>
      <c r="D898" s="3" t="s">
        <v>331</v>
      </c>
      <c r="E898" t="s">
        <v>15</v>
      </c>
    </row>
    <row r="899" spans="1:5" x14ac:dyDescent="0.25">
      <c r="A899">
        <v>2738</v>
      </c>
      <c r="B899" t="s">
        <v>16</v>
      </c>
      <c r="C899">
        <v>5430</v>
      </c>
      <c r="D899" s="3" t="s">
        <v>339</v>
      </c>
      <c r="E899" t="s">
        <v>15</v>
      </c>
    </row>
    <row r="900" spans="1:5" x14ac:dyDescent="0.25">
      <c r="A900">
        <v>2738</v>
      </c>
      <c r="B900" t="s">
        <v>16</v>
      </c>
      <c r="C900">
        <v>5040</v>
      </c>
      <c r="D900" s="3" t="s">
        <v>340</v>
      </c>
      <c r="E900" t="s">
        <v>15</v>
      </c>
    </row>
    <row r="901" spans="1:5" x14ac:dyDescent="0.25">
      <c r="A901">
        <v>2738</v>
      </c>
      <c r="B901" t="s">
        <v>16</v>
      </c>
      <c r="C901">
        <v>6810</v>
      </c>
      <c r="D901" s="3" t="s">
        <v>341</v>
      </c>
      <c r="E901" t="s">
        <v>15</v>
      </c>
    </row>
    <row r="902" spans="1:5" x14ac:dyDescent="0.25">
      <c r="A902">
        <v>4855</v>
      </c>
      <c r="B902" t="s">
        <v>242</v>
      </c>
      <c r="C902">
        <v>1856</v>
      </c>
      <c r="D902" s="3" t="s">
        <v>334</v>
      </c>
      <c r="E902" t="s">
        <v>25</v>
      </c>
    </row>
    <row r="903" spans="1:5" x14ac:dyDescent="0.25">
      <c r="A903">
        <v>4855</v>
      </c>
      <c r="B903" t="s">
        <v>242</v>
      </c>
      <c r="C903">
        <v>1120</v>
      </c>
      <c r="D903" s="3" t="s">
        <v>341</v>
      </c>
      <c r="E903" t="s">
        <v>25</v>
      </c>
    </row>
    <row r="904" spans="1:5" x14ac:dyDescent="0.25">
      <c r="A904">
        <v>9001</v>
      </c>
      <c r="B904" t="s">
        <v>29</v>
      </c>
      <c r="C904">
        <v>1152</v>
      </c>
      <c r="D904" s="3" t="s">
        <v>335</v>
      </c>
      <c r="E904" t="s">
        <v>28</v>
      </c>
    </row>
    <row r="905" spans="1:5" x14ac:dyDescent="0.25">
      <c r="A905">
        <v>9001</v>
      </c>
      <c r="B905" t="s">
        <v>29</v>
      </c>
      <c r="C905">
        <v>5652</v>
      </c>
      <c r="D905" s="3" t="s">
        <v>336</v>
      </c>
      <c r="E905" t="s">
        <v>28</v>
      </c>
    </row>
    <row r="906" spans="1:5" x14ac:dyDescent="0.25">
      <c r="A906">
        <v>9001</v>
      </c>
      <c r="B906" t="s">
        <v>29</v>
      </c>
      <c r="C906">
        <v>720</v>
      </c>
      <c r="D906" s="3" t="s">
        <v>338</v>
      </c>
      <c r="E906" t="s">
        <v>28</v>
      </c>
    </row>
    <row r="907" spans="1:5" x14ac:dyDescent="0.25">
      <c r="A907">
        <v>9001</v>
      </c>
      <c r="B907" t="s">
        <v>29</v>
      </c>
      <c r="C907">
        <v>9828</v>
      </c>
      <c r="D907" s="3" t="s">
        <v>338</v>
      </c>
      <c r="E907" t="s">
        <v>28</v>
      </c>
    </row>
    <row r="908" spans="1:5" x14ac:dyDescent="0.25">
      <c r="A908">
        <v>9001</v>
      </c>
      <c r="B908" t="s">
        <v>29</v>
      </c>
      <c r="C908">
        <v>10080</v>
      </c>
      <c r="D908" s="3" t="s">
        <v>334</v>
      </c>
      <c r="E908" t="s">
        <v>28</v>
      </c>
    </row>
    <row r="909" spans="1:5" x14ac:dyDescent="0.25">
      <c r="A909">
        <v>9001</v>
      </c>
      <c r="B909" t="s">
        <v>29</v>
      </c>
      <c r="C909">
        <v>8316</v>
      </c>
      <c r="D909" s="3" t="s">
        <v>331</v>
      </c>
      <c r="E909" t="s">
        <v>28</v>
      </c>
    </row>
    <row r="910" spans="1:5" x14ac:dyDescent="0.25">
      <c r="A910">
        <v>9001</v>
      </c>
      <c r="B910" t="s">
        <v>29</v>
      </c>
      <c r="C910">
        <v>4212</v>
      </c>
      <c r="D910" s="3" t="s">
        <v>339</v>
      </c>
      <c r="E910" t="s">
        <v>28</v>
      </c>
    </row>
    <row r="911" spans="1:5" x14ac:dyDescent="0.25">
      <c r="A911">
        <v>9003</v>
      </c>
      <c r="B911" t="s">
        <v>32</v>
      </c>
      <c r="C911">
        <v>1800</v>
      </c>
      <c r="D911" s="3" t="s">
        <v>335</v>
      </c>
      <c r="E911" t="s">
        <v>28</v>
      </c>
    </row>
    <row r="912" spans="1:5" x14ac:dyDescent="0.25">
      <c r="A912">
        <v>9003</v>
      </c>
      <c r="B912" t="s">
        <v>32</v>
      </c>
      <c r="C912">
        <v>1584</v>
      </c>
      <c r="D912" s="3" t="s">
        <v>336</v>
      </c>
      <c r="E912" t="s">
        <v>28</v>
      </c>
    </row>
    <row r="913" spans="1:5" x14ac:dyDescent="0.25">
      <c r="A913">
        <v>9003</v>
      </c>
      <c r="B913" t="s">
        <v>32</v>
      </c>
      <c r="C913">
        <v>1692</v>
      </c>
      <c r="D913" s="3" t="s">
        <v>334</v>
      </c>
      <c r="E913" t="s">
        <v>28</v>
      </c>
    </row>
    <row r="914" spans="1:5" x14ac:dyDescent="0.25">
      <c r="A914">
        <v>9003</v>
      </c>
      <c r="B914" t="s">
        <v>32</v>
      </c>
      <c r="C914">
        <v>3456</v>
      </c>
      <c r="D914" s="3" t="s">
        <v>331</v>
      </c>
      <c r="E914" t="s">
        <v>28</v>
      </c>
    </row>
    <row r="915" spans="1:5" x14ac:dyDescent="0.25">
      <c r="A915">
        <v>9003</v>
      </c>
      <c r="B915" t="s">
        <v>32</v>
      </c>
      <c r="C915">
        <v>2664</v>
      </c>
      <c r="D915" s="3" t="s">
        <v>339</v>
      </c>
      <c r="E915" t="s">
        <v>28</v>
      </c>
    </row>
    <row r="916" spans="1:5" x14ac:dyDescent="0.25">
      <c r="A916">
        <v>9004</v>
      </c>
      <c r="B916" t="s">
        <v>33</v>
      </c>
      <c r="C916">
        <v>432</v>
      </c>
      <c r="D916" s="3" t="s">
        <v>336</v>
      </c>
      <c r="E916" t="s">
        <v>28</v>
      </c>
    </row>
    <row r="917" spans="1:5" x14ac:dyDescent="0.25">
      <c r="A917">
        <v>9004</v>
      </c>
      <c r="B917" t="s">
        <v>33</v>
      </c>
      <c r="C917">
        <v>1584</v>
      </c>
      <c r="D917" s="3" t="s">
        <v>331</v>
      </c>
      <c r="E917" t="s">
        <v>28</v>
      </c>
    </row>
    <row r="918" spans="1:5" x14ac:dyDescent="0.25">
      <c r="A918">
        <v>9004</v>
      </c>
      <c r="B918" t="s">
        <v>33</v>
      </c>
      <c r="C918">
        <v>324</v>
      </c>
      <c r="D918" s="3" t="s">
        <v>339</v>
      </c>
      <c r="E918" t="s">
        <v>28</v>
      </c>
    </row>
    <row r="919" spans="1:5" x14ac:dyDescent="0.25">
      <c r="A919">
        <v>9004</v>
      </c>
      <c r="B919" t="s">
        <v>33</v>
      </c>
      <c r="C919">
        <v>2304</v>
      </c>
      <c r="D919" s="3" t="s">
        <v>341</v>
      </c>
      <c r="E919" t="s">
        <v>28</v>
      </c>
    </row>
    <row r="920" spans="1:5" x14ac:dyDescent="0.25">
      <c r="A920">
        <v>9005</v>
      </c>
      <c r="B920" t="s">
        <v>34</v>
      </c>
      <c r="C920">
        <v>684</v>
      </c>
      <c r="D920" s="3" t="s">
        <v>336</v>
      </c>
      <c r="E920" t="s">
        <v>28</v>
      </c>
    </row>
    <row r="921" spans="1:5" x14ac:dyDescent="0.25">
      <c r="A921">
        <v>9005</v>
      </c>
      <c r="B921" t="s">
        <v>34</v>
      </c>
      <c r="C921">
        <v>1044</v>
      </c>
      <c r="D921" s="3" t="s">
        <v>339</v>
      </c>
      <c r="E921" t="s">
        <v>28</v>
      </c>
    </row>
    <row r="922" spans="1:5" x14ac:dyDescent="0.25">
      <c r="A922">
        <v>9007</v>
      </c>
      <c r="B922" t="s">
        <v>230</v>
      </c>
      <c r="C922">
        <v>792</v>
      </c>
      <c r="D922" s="3" t="s">
        <v>335</v>
      </c>
      <c r="E922" t="s">
        <v>28</v>
      </c>
    </row>
    <row r="923" spans="1:5" x14ac:dyDescent="0.25">
      <c r="A923">
        <v>9007</v>
      </c>
      <c r="B923" t="s">
        <v>230</v>
      </c>
      <c r="C923">
        <v>936</v>
      </c>
      <c r="D923" s="3" t="s">
        <v>339</v>
      </c>
      <c r="E923" t="s">
        <v>28</v>
      </c>
    </row>
    <row r="924" spans="1:5" x14ac:dyDescent="0.25">
      <c r="A924">
        <v>9009</v>
      </c>
      <c r="B924" t="s">
        <v>77</v>
      </c>
      <c r="C924">
        <v>720</v>
      </c>
      <c r="D924" s="3" t="s">
        <v>336</v>
      </c>
      <c r="E924" t="s">
        <v>28</v>
      </c>
    </row>
    <row r="925" spans="1:5" x14ac:dyDescent="0.25">
      <c r="A925">
        <v>9009</v>
      </c>
      <c r="B925" t="s">
        <v>77</v>
      </c>
      <c r="C925">
        <v>720</v>
      </c>
      <c r="D925" s="3" t="s">
        <v>339</v>
      </c>
      <c r="E925" t="s">
        <v>28</v>
      </c>
    </row>
    <row r="926" spans="1:5" x14ac:dyDescent="0.25">
      <c r="A926">
        <v>9011</v>
      </c>
      <c r="B926" t="s">
        <v>78</v>
      </c>
      <c r="C926">
        <v>936</v>
      </c>
      <c r="D926" s="3" t="s">
        <v>334</v>
      </c>
      <c r="E926" t="s">
        <v>28</v>
      </c>
    </row>
    <row r="927" spans="1:5" x14ac:dyDescent="0.25">
      <c r="A927">
        <v>9011</v>
      </c>
      <c r="B927" t="s">
        <v>78</v>
      </c>
      <c r="C927">
        <v>1980</v>
      </c>
      <c r="D927" s="3" t="s">
        <v>341</v>
      </c>
      <c r="E927" t="s">
        <v>28</v>
      </c>
    </row>
    <row r="928" spans="1:5" x14ac:dyDescent="0.25">
      <c r="A928">
        <v>9013</v>
      </c>
      <c r="B928" t="s">
        <v>35</v>
      </c>
      <c r="C928">
        <v>864</v>
      </c>
      <c r="D928" s="3" t="s">
        <v>334</v>
      </c>
      <c r="E928" t="s">
        <v>28</v>
      </c>
    </row>
    <row r="929" spans="1:5" x14ac:dyDescent="0.25">
      <c r="A929">
        <v>9013</v>
      </c>
      <c r="B929" t="s">
        <v>35</v>
      </c>
      <c r="C929">
        <v>1296</v>
      </c>
      <c r="D929" s="3" t="s">
        <v>341</v>
      </c>
      <c r="E929" t="s">
        <v>28</v>
      </c>
    </row>
    <row r="930" spans="1:5" x14ac:dyDescent="0.25">
      <c r="A930">
        <v>9014</v>
      </c>
      <c r="B930" t="s">
        <v>79</v>
      </c>
      <c r="C930">
        <v>640</v>
      </c>
      <c r="D930" s="3" t="s">
        <v>335</v>
      </c>
      <c r="E930" t="s">
        <v>28</v>
      </c>
    </row>
    <row r="931" spans="1:5" x14ac:dyDescent="0.25">
      <c r="A931">
        <v>9014</v>
      </c>
      <c r="B931" t="s">
        <v>79</v>
      </c>
      <c r="C931">
        <v>800</v>
      </c>
      <c r="D931" s="3" t="s">
        <v>338</v>
      </c>
      <c r="E931" t="s">
        <v>28</v>
      </c>
    </row>
    <row r="932" spans="1:5" x14ac:dyDescent="0.25">
      <c r="A932">
        <v>9015</v>
      </c>
      <c r="B932" t="s">
        <v>251</v>
      </c>
      <c r="C932">
        <v>720</v>
      </c>
      <c r="D932" s="3" t="s">
        <v>336</v>
      </c>
      <c r="E932" t="s">
        <v>28</v>
      </c>
    </row>
    <row r="933" spans="1:5" x14ac:dyDescent="0.25">
      <c r="A933">
        <v>9019</v>
      </c>
      <c r="B933" t="s">
        <v>37</v>
      </c>
      <c r="C933">
        <v>2700</v>
      </c>
      <c r="D933" s="3" t="s">
        <v>335</v>
      </c>
      <c r="E933" t="s">
        <v>28</v>
      </c>
    </row>
    <row r="934" spans="1:5" x14ac:dyDescent="0.25">
      <c r="A934">
        <v>9019</v>
      </c>
      <c r="B934" t="s">
        <v>37</v>
      </c>
      <c r="C934">
        <v>1908</v>
      </c>
      <c r="D934" s="3" t="s">
        <v>336</v>
      </c>
      <c r="E934" t="s">
        <v>28</v>
      </c>
    </row>
    <row r="935" spans="1:5" x14ac:dyDescent="0.25">
      <c r="A935">
        <v>9019</v>
      </c>
      <c r="B935" t="s">
        <v>37</v>
      </c>
      <c r="C935">
        <v>1476</v>
      </c>
      <c r="D935" s="3" t="s">
        <v>338</v>
      </c>
      <c r="E935" t="s">
        <v>28</v>
      </c>
    </row>
    <row r="936" spans="1:5" x14ac:dyDescent="0.25">
      <c r="A936">
        <v>9019</v>
      </c>
      <c r="B936" t="s">
        <v>37</v>
      </c>
      <c r="C936">
        <v>900</v>
      </c>
      <c r="D936" s="3" t="s">
        <v>339</v>
      </c>
      <c r="E936" t="s">
        <v>28</v>
      </c>
    </row>
    <row r="937" spans="1:5" x14ac:dyDescent="0.25">
      <c r="A937">
        <v>9019</v>
      </c>
      <c r="B937" t="s">
        <v>37</v>
      </c>
      <c r="C937">
        <v>4680</v>
      </c>
      <c r="D937" s="3" t="s">
        <v>341</v>
      </c>
      <c r="E937" t="s">
        <v>28</v>
      </c>
    </row>
    <row r="938" spans="1:5" x14ac:dyDescent="0.25">
      <c r="A938">
        <v>9024</v>
      </c>
      <c r="B938" t="s">
        <v>146</v>
      </c>
      <c r="C938">
        <v>2304</v>
      </c>
      <c r="D938" s="3" t="s">
        <v>335</v>
      </c>
      <c r="E938" t="s">
        <v>28</v>
      </c>
    </row>
    <row r="939" spans="1:5" x14ac:dyDescent="0.25">
      <c r="A939">
        <v>9025</v>
      </c>
      <c r="B939" t="s">
        <v>40</v>
      </c>
      <c r="C939">
        <v>792</v>
      </c>
      <c r="D939" s="3" t="s">
        <v>339</v>
      </c>
      <c r="E939" t="s">
        <v>28</v>
      </c>
    </row>
    <row r="940" spans="1:5" x14ac:dyDescent="0.25">
      <c r="A940">
        <v>9029</v>
      </c>
      <c r="B940" t="s">
        <v>41</v>
      </c>
      <c r="C940">
        <v>252</v>
      </c>
      <c r="D940" s="3" t="s">
        <v>336</v>
      </c>
      <c r="E940" t="s">
        <v>28</v>
      </c>
    </row>
    <row r="941" spans="1:5" x14ac:dyDescent="0.25">
      <c r="A941">
        <v>9029</v>
      </c>
      <c r="B941" t="s">
        <v>41</v>
      </c>
      <c r="C941">
        <v>1188</v>
      </c>
      <c r="D941" s="3" t="s">
        <v>341</v>
      </c>
      <c r="E941" t="s">
        <v>28</v>
      </c>
    </row>
    <row r="942" spans="1:5" x14ac:dyDescent="0.25">
      <c r="A942">
        <v>9031</v>
      </c>
      <c r="B942" t="s">
        <v>42</v>
      </c>
      <c r="C942">
        <v>2688</v>
      </c>
      <c r="D942" s="3" t="s">
        <v>333</v>
      </c>
      <c r="E942" t="s">
        <v>43</v>
      </c>
    </row>
    <row r="943" spans="1:5" x14ac:dyDescent="0.25">
      <c r="A943">
        <v>9033</v>
      </c>
      <c r="B943" t="s">
        <v>81</v>
      </c>
      <c r="C943">
        <v>400</v>
      </c>
      <c r="D943" s="3" t="s">
        <v>335</v>
      </c>
      <c r="E943" t="s">
        <v>15</v>
      </c>
    </row>
    <row r="944" spans="1:5" x14ac:dyDescent="0.25">
      <c r="A944">
        <v>9033</v>
      </c>
      <c r="B944" t="s">
        <v>81</v>
      </c>
      <c r="C944">
        <v>410</v>
      </c>
      <c r="D944" s="3" t="s">
        <v>334</v>
      </c>
      <c r="E944" t="s">
        <v>15</v>
      </c>
    </row>
    <row r="945" spans="1:5" x14ac:dyDescent="0.25">
      <c r="A945">
        <v>9036</v>
      </c>
      <c r="B945" t="s">
        <v>120</v>
      </c>
      <c r="C945">
        <v>592</v>
      </c>
      <c r="D945" s="3" t="s">
        <v>339</v>
      </c>
      <c r="E945" t="s">
        <v>15</v>
      </c>
    </row>
    <row r="946" spans="1:5" x14ac:dyDescent="0.25">
      <c r="A946">
        <v>9041</v>
      </c>
      <c r="B946" t="s">
        <v>272</v>
      </c>
      <c r="C946">
        <v>280</v>
      </c>
      <c r="D946" s="3" t="s">
        <v>332</v>
      </c>
      <c r="E946" t="s">
        <v>174</v>
      </c>
    </row>
    <row r="947" spans="1:5" x14ac:dyDescent="0.25">
      <c r="A947">
        <v>9042</v>
      </c>
      <c r="B947" t="s">
        <v>312</v>
      </c>
      <c r="C947">
        <v>252</v>
      </c>
      <c r="D947" s="3" t="s">
        <v>333</v>
      </c>
      <c r="E947" t="s">
        <v>174</v>
      </c>
    </row>
    <row r="948" spans="1:5" x14ac:dyDescent="0.25">
      <c r="A948">
        <v>9045</v>
      </c>
      <c r="B948" t="s">
        <v>297</v>
      </c>
      <c r="C948">
        <v>288</v>
      </c>
      <c r="D948" s="3" t="s">
        <v>333</v>
      </c>
      <c r="E948" t="s">
        <v>174</v>
      </c>
    </row>
    <row r="949" spans="1:5" x14ac:dyDescent="0.25">
      <c r="A949">
        <v>9053</v>
      </c>
      <c r="B949" t="s">
        <v>44</v>
      </c>
      <c r="C949">
        <v>370</v>
      </c>
      <c r="D949" s="3" t="s">
        <v>335</v>
      </c>
      <c r="E949" t="s">
        <v>45</v>
      </c>
    </row>
    <row r="950" spans="1:5" x14ac:dyDescent="0.25">
      <c r="A950">
        <v>9053</v>
      </c>
      <c r="B950" t="s">
        <v>44</v>
      </c>
      <c r="C950">
        <v>3310</v>
      </c>
      <c r="D950" s="3" t="s">
        <v>332</v>
      </c>
      <c r="E950" t="s">
        <v>45</v>
      </c>
    </row>
    <row r="951" spans="1:5" x14ac:dyDescent="0.25">
      <c r="A951">
        <v>9053</v>
      </c>
      <c r="B951" t="s">
        <v>44</v>
      </c>
      <c r="C951">
        <v>330</v>
      </c>
      <c r="D951" s="3" t="s">
        <v>334</v>
      </c>
      <c r="E951" t="s">
        <v>45</v>
      </c>
    </row>
    <row r="952" spans="1:5" x14ac:dyDescent="0.25">
      <c r="A952">
        <v>9053</v>
      </c>
      <c r="B952" t="s">
        <v>44</v>
      </c>
      <c r="C952">
        <v>640</v>
      </c>
      <c r="D952" s="3" t="s">
        <v>331</v>
      </c>
      <c r="E952" t="s">
        <v>45</v>
      </c>
    </row>
    <row r="953" spans="1:5" x14ac:dyDescent="0.25">
      <c r="A953">
        <v>9055</v>
      </c>
      <c r="B953" t="s">
        <v>313</v>
      </c>
      <c r="C953">
        <v>304</v>
      </c>
      <c r="D953" s="3" t="s">
        <v>332</v>
      </c>
      <c r="E953" t="s">
        <v>174</v>
      </c>
    </row>
    <row r="954" spans="1:5" x14ac:dyDescent="0.25">
      <c r="A954">
        <v>9188</v>
      </c>
      <c r="B954" t="s">
        <v>48</v>
      </c>
      <c r="C954">
        <v>1040</v>
      </c>
      <c r="D954" s="3" t="s">
        <v>336</v>
      </c>
      <c r="E954" t="s">
        <v>15</v>
      </c>
    </row>
    <row r="955" spans="1:5" x14ac:dyDescent="0.25">
      <c r="A955">
        <v>9188</v>
      </c>
      <c r="B955" t="s">
        <v>48</v>
      </c>
      <c r="C955">
        <v>2170</v>
      </c>
      <c r="D955" s="3" t="s">
        <v>333</v>
      </c>
      <c r="E955" t="s">
        <v>15</v>
      </c>
    </row>
    <row r="956" spans="1:5" x14ac:dyDescent="0.25">
      <c r="A956">
        <v>9188</v>
      </c>
      <c r="B956" t="s">
        <v>48</v>
      </c>
      <c r="C956">
        <v>2310</v>
      </c>
      <c r="D956" s="3" t="s">
        <v>339</v>
      </c>
      <c r="E956" t="s">
        <v>15</v>
      </c>
    </row>
    <row r="957" spans="1:5" x14ac:dyDescent="0.25">
      <c r="A957">
        <v>9201</v>
      </c>
      <c r="B957" t="s">
        <v>50</v>
      </c>
      <c r="C957">
        <v>600</v>
      </c>
      <c r="D957" s="3" t="s">
        <v>335</v>
      </c>
      <c r="E957" t="s">
        <v>15</v>
      </c>
    </row>
    <row r="958" spans="1:5" x14ac:dyDescent="0.25">
      <c r="A958">
        <v>9201</v>
      </c>
      <c r="B958" t="s">
        <v>50</v>
      </c>
      <c r="C958">
        <v>2000</v>
      </c>
      <c r="D958" s="3" t="s">
        <v>341</v>
      </c>
      <c r="E958" t="s">
        <v>15</v>
      </c>
    </row>
    <row r="959" spans="1:5" x14ac:dyDescent="0.25">
      <c r="A959">
        <v>9229</v>
      </c>
      <c r="B959" t="s">
        <v>52</v>
      </c>
      <c r="C959">
        <v>392</v>
      </c>
      <c r="D959" s="3" t="s">
        <v>332</v>
      </c>
      <c r="E959" t="s">
        <v>28</v>
      </c>
    </row>
    <row r="960" spans="1:5" x14ac:dyDescent="0.25">
      <c r="A960">
        <v>2283</v>
      </c>
      <c r="B960" t="s">
        <v>152</v>
      </c>
      <c r="C960">
        <v>1592</v>
      </c>
      <c r="D960" s="3" t="s">
        <v>342</v>
      </c>
      <c r="E960" t="s">
        <v>7</v>
      </c>
    </row>
    <row r="961" spans="1:5" x14ac:dyDescent="0.25">
      <c r="A961">
        <v>2283</v>
      </c>
      <c r="B961" t="s">
        <v>152</v>
      </c>
      <c r="C961">
        <v>768</v>
      </c>
      <c r="D961" s="3" t="s">
        <v>343</v>
      </c>
      <c r="E961" t="s">
        <v>7</v>
      </c>
    </row>
    <row r="962" spans="1:5" x14ac:dyDescent="0.25">
      <c r="A962">
        <v>2283</v>
      </c>
      <c r="B962" t="s">
        <v>152</v>
      </c>
      <c r="C962">
        <v>1144</v>
      </c>
      <c r="D962" s="3" t="s">
        <v>344</v>
      </c>
      <c r="E962" t="s">
        <v>7</v>
      </c>
    </row>
    <row r="963" spans="1:5" x14ac:dyDescent="0.25">
      <c r="A963">
        <v>2543</v>
      </c>
      <c r="B963" t="s">
        <v>161</v>
      </c>
      <c r="C963">
        <v>728</v>
      </c>
      <c r="D963" s="3" t="s">
        <v>342</v>
      </c>
      <c r="E963" t="s">
        <v>7</v>
      </c>
    </row>
    <row r="964" spans="1:5" x14ac:dyDescent="0.25">
      <c r="A964">
        <v>2553</v>
      </c>
      <c r="B964" t="s">
        <v>162</v>
      </c>
      <c r="C964">
        <v>900</v>
      </c>
      <c r="D964" s="3" t="s">
        <v>345</v>
      </c>
      <c r="E964" t="s">
        <v>7</v>
      </c>
    </row>
    <row r="965" spans="1:5" x14ac:dyDescent="0.25">
      <c r="A965">
        <v>2735</v>
      </c>
      <c r="B965" t="s">
        <v>13</v>
      </c>
      <c r="C965">
        <v>890</v>
      </c>
      <c r="D965" s="3" t="s">
        <v>342</v>
      </c>
      <c r="E965" t="s">
        <v>15</v>
      </c>
    </row>
    <row r="966" spans="1:5" x14ac:dyDescent="0.25">
      <c r="A966">
        <v>2735</v>
      </c>
      <c r="B966" t="s">
        <v>13</v>
      </c>
      <c r="C966">
        <v>700</v>
      </c>
      <c r="D966" s="3" t="s">
        <v>344</v>
      </c>
      <c r="E966" t="s">
        <v>15</v>
      </c>
    </row>
    <row r="967" spans="1:5" x14ac:dyDescent="0.25">
      <c r="A967">
        <v>2736</v>
      </c>
      <c r="B967" t="s">
        <v>62</v>
      </c>
      <c r="C967">
        <v>5640</v>
      </c>
      <c r="D967" s="3" t="s">
        <v>346</v>
      </c>
      <c r="E967" t="s">
        <v>15</v>
      </c>
    </row>
    <row r="968" spans="1:5" x14ac:dyDescent="0.25">
      <c r="A968">
        <v>2737</v>
      </c>
      <c r="B968" t="s">
        <v>134</v>
      </c>
      <c r="C968">
        <v>690</v>
      </c>
      <c r="D968" s="3" t="s">
        <v>347</v>
      </c>
      <c r="E968" t="s">
        <v>15</v>
      </c>
    </row>
    <row r="969" spans="1:5" x14ac:dyDescent="0.25">
      <c r="A969">
        <v>2738</v>
      </c>
      <c r="B969" t="s">
        <v>16</v>
      </c>
      <c r="C969">
        <v>4560</v>
      </c>
      <c r="D969" s="3" t="s">
        <v>342</v>
      </c>
      <c r="E969" t="s">
        <v>15</v>
      </c>
    </row>
    <row r="970" spans="1:5" x14ac:dyDescent="0.25">
      <c r="A970">
        <v>2738</v>
      </c>
      <c r="B970" t="s">
        <v>16</v>
      </c>
      <c r="C970">
        <v>5760</v>
      </c>
      <c r="D970" s="3" t="s">
        <v>348</v>
      </c>
      <c r="E970" t="s">
        <v>15</v>
      </c>
    </row>
    <row r="971" spans="1:5" x14ac:dyDescent="0.25">
      <c r="A971">
        <v>2738</v>
      </c>
      <c r="B971" t="s">
        <v>16</v>
      </c>
      <c r="C971">
        <v>3600</v>
      </c>
      <c r="D971" s="3" t="s">
        <v>349</v>
      </c>
      <c r="E971" t="s">
        <v>15</v>
      </c>
    </row>
    <row r="972" spans="1:5" x14ac:dyDescent="0.25">
      <c r="A972">
        <v>2738</v>
      </c>
      <c r="B972" t="s">
        <v>16</v>
      </c>
      <c r="C972">
        <v>5325</v>
      </c>
      <c r="D972" s="3" t="s">
        <v>347</v>
      </c>
      <c r="E972" t="s">
        <v>15</v>
      </c>
    </row>
    <row r="973" spans="1:5" x14ac:dyDescent="0.25">
      <c r="A973">
        <v>2738</v>
      </c>
      <c r="B973" t="s">
        <v>16</v>
      </c>
      <c r="C973">
        <v>3600</v>
      </c>
      <c r="D973" s="3" t="s">
        <v>350</v>
      </c>
      <c r="E973" t="s">
        <v>15</v>
      </c>
    </row>
    <row r="974" spans="1:5" x14ac:dyDescent="0.25">
      <c r="A974">
        <v>2738</v>
      </c>
      <c r="B974" t="s">
        <v>16</v>
      </c>
      <c r="C974">
        <v>7920</v>
      </c>
      <c r="D974" s="3" t="s">
        <v>351</v>
      </c>
      <c r="E974" t="s">
        <v>15</v>
      </c>
    </row>
    <row r="975" spans="1:5" x14ac:dyDescent="0.25">
      <c r="A975">
        <v>2738</v>
      </c>
      <c r="B975" t="s">
        <v>16</v>
      </c>
      <c r="C975">
        <v>6480</v>
      </c>
      <c r="D975" s="3" t="s">
        <v>345</v>
      </c>
      <c r="E975" t="s">
        <v>15</v>
      </c>
    </row>
    <row r="976" spans="1:5" x14ac:dyDescent="0.25">
      <c r="A976">
        <v>2738</v>
      </c>
      <c r="B976" t="s">
        <v>16</v>
      </c>
      <c r="C976">
        <v>5040</v>
      </c>
      <c r="D976" s="3" t="s">
        <v>346</v>
      </c>
      <c r="E976" t="s">
        <v>15</v>
      </c>
    </row>
    <row r="977" spans="1:5" x14ac:dyDescent="0.25">
      <c r="A977">
        <v>2738</v>
      </c>
      <c r="B977" t="s">
        <v>16</v>
      </c>
      <c r="C977">
        <v>4845</v>
      </c>
      <c r="D977" s="3" t="s">
        <v>344</v>
      </c>
      <c r="E977" t="s">
        <v>15</v>
      </c>
    </row>
    <row r="978" spans="1:5" x14ac:dyDescent="0.25">
      <c r="A978">
        <v>2738</v>
      </c>
      <c r="B978" t="s">
        <v>16</v>
      </c>
      <c r="C978">
        <v>5595</v>
      </c>
      <c r="D978" s="3" t="s">
        <v>352</v>
      </c>
      <c r="E978" t="s">
        <v>15</v>
      </c>
    </row>
    <row r="979" spans="1:5" x14ac:dyDescent="0.25">
      <c r="A979">
        <v>4808</v>
      </c>
      <c r="B979" t="s">
        <v>241</v>
      </c>
      <c r="C979">
        <v>2070</v>
      </c>
      <c r="D979" s="3" t="s">
        <v>344</v>
      </c>
      <c r="E979" t="s">
        <v>25</v>
      </c>
    </row>
    <row r="980" spans="1:5" x14ac:dyDescent="0.25">
      <c r="A980">
        <v>4855</v>
      </c>
      <c r="B980" t="s">
        <v>242</v>
      </c>
      <c r="C980">
        <v>2376</v>
      </c>
      <c r="D980" s="3" t="s">
        <v>345</v>
      </c>
      <c r="E980" t="s">
        <v>25</v>
      </c>
    </row>
    <row r="981" spans="1:5" x14ac:dyDescent="0.25">
      <c r="A981">
        <v>9000</v>
      </c>
      <c r="B981" t="s">
        <v>27</v>
      </c>
      <c r="C981">
        <v>5778</v>
      </c>
      <c r="D981" s="3" t="s">
        <v>343</v>
      </c>
      <c r="E981" t="s">
        <v>28</v>
      </c>
    </row>
    <row r="982" spans="1:5" x14ac:dyDescent="0.25">
      <c r="A982">
        <v>9001</v>
      </c>
      <c r="B982" t="s">
        <v>29</v>
      </c>
      <c r="C982">
        <v>4320</v>
      </c>
      <c r="D982" s="3" t="s">
        <v>347</v>
      </c>
      <c r="E982" t="s">
        <v>28</v>
      </c>
    </row>
    <row r="983" spans="1:5" x14ac:dyDescent="0.25">
      <c r="A983">
        <v>9001</v>
      </c>
      <c r="B983" t="s">
        <v>29</v>
      </c>
      <c r="C983">
        <v>1296</v>
      </c>
      <c r="D983" s="3" t="s">
        <v>351</v>
      </c>
      <c r="E983" t="s">
        <v>28</v>
      </c>
    </row>
    <row r="984" spans="1:5" x14ac:dyDescent="0.25">
      <c r="A984">
        <v>9001</v>
      </c>
      <c r="B984" t="s">
        <v>29</v>
      </c>
      <c r="C984">
        <v>8208</v>
      </c>
      <c r="D984" s="3" t="s">
        <v>345</v>
      </c>
      <c r="E984" t="s">
        <v>28</v>
      </c>
    </row>
    <row r="985" spans="1:5" x14ac:dyDescent="0.25">
      <c r="A985">
        <v>9001</v>
      </c>
      <c r="B985" t="s">
        <v>29</v>
      </c>
      <c r="C985">
        <v>5616</v>
      </c>
      <c r="D985" s="3" t="s">
        <v>344</v>
      </c>
      <c r="E985" t="s">
        <v>28</v>
      </c>
    </row>
    <row r="986" spans="1:5" x14ac:dyDescent="0.25">
      <c r="A986">
        <v>9003</v>
      </c>
      <c r="B986" t="s">
        <v>32</v>
      </c>
      <c r="C986">
        <v>1944</v>
      </c>
      <c r="D986" s="3" t="s">
        <v>342</v>
      </c>
      <c r="E986" t="s">
        <v>28</v>
      </c>
    </row>
    <row r="987" spans="1:5" x14ac:dyDescent="0.25">
      <c r="A987">
        <v>9003</v>
      </c>
      <c r="B987" t="s">
        <v>32</v>
      </c>
      <c r="C987">
        <v>5832</v>
      </c>
      <c r="D987" s="3" t="s">
        <v>343</v>
      </c>
      <c r="E987" t="s">
        <v>28</v>
      </c>
    </row>
    <row r="988" spans="1:5" x14ac:dyDescent="0.25">
      <c r="A988">
        <v>9003</v>
      </c>
      <c r="B988" t="s">
        <v>32</v>
      </c>
      <c r="C988">
        <v>6840</v>
      </c>
      <c r="D988" s="3" t="s">
        <v>347</v>
      </c>
      <c r="E988" t="s">
        <v>28</v>
      </c>
    </row>
    <row r="989" spans="1:5" x14ac:dyDescent="0.25">
      <c r="A989">
        <v>9003</v>
      </c>
      <c r="B989" t="s">
        <v>32</v>
      </c>
      <c r="C989">
        <v>2304</v>
      </c>
      <c r="D989" s="3" t="s">
        <v>344</v>
      </c>
      <c r="E989" t="s">
        <v>28</v>
      </c>
    </row>
    <row r="990" spans="1:5" x14ac:dyDescent="0.25">
      <c r="A990">
        <v>9004</v>
      </c>
      <c r="B990" t="s">
        <v>33</v>
      </c>
      <c r="C990">
        <v>864</v>
      </c>
      <c r="D990" s="3" t="s">
        <v>343</v>
      </c>
      <c r="E990" t="s">
        <v>28</v>
      </c>
    </row>
    <row r="991" spans="1:5" x14ac:dyDescent="0.25">
      <c r="A991">
        <v>9004</v>
      </c>
      <c r="B991" t="s">
        <v>33</v>
      </c>
      <c r="C991">
        <v>3960</v>
      </c>
      <c r="D991" s="3" t="s">
        <v>351</v>
      </c>
      <c r="E991" t="s">
        <v>28</v>
      </c>
    </row>
    <row r="992" spans="1:5" x14ac:dyDescent="0.25">
      <c r="A992">
        <v>9011</v>
      </c>
      <c r="B992" t="s">
        <v>78</v>
      </c>
      <c r="C992">
        <v>3168</v>
      </c>
      <c r="D992" s="3" t="s">
        <v>342</v>
      </c>
      <c r="E992" t="s">
        <v>28</v>
      </c>
    </row>
    <row r="993" spans="1:5" x14ac:dyDescent="0.25">
      <c r="A993">
        <v>9011</v>
      </c>
      <c r="B993" t="s">
        <v>78</v>
      </c>
      <c r="C993">
        <v>1008</v>
      </c>
      <c r="D993" s="3" t="s">
        <v>343</v>
      </c>
      <c r="E993" t="s">
        <v>28</v>
      </c>
    </row>
    <row r="994" spans="1:5" x14ac:dyDescent="0.25">
      <c r="A994">
        <v>9011</v>
      </c>
      <c r="B994" t="s">
        <v>78</v>
      </c>
      <c r="C994">
        <v>1152</v>
      </c>
      <c r="D994" s="3" t="s">
        <v>344</v>
      </c>
      <c r="E994" t="s">
        <v>28</v>
      </c>
    </row>
    <row r="995" spans="1:5" x14ac:dyDescent="0.25">
      <c r="A995">
        <v>9013</v>
      </c>
      <c r="B995" t="s">
        <v>35</v>
      </c>
      <c r="C995">
        <v>1656</v>
      </c>
      <c r="D995" s="3" t="s">
        <v>351</v>
      </c>
      <c r="E995" t="s">
        <v>28</v>
      </c>
    </row>
    <row r="996" spans="1:5" x14ac:dyDescent="0.25">
      <c r="A996">
        <v>9019</v>
      </c>
      <c r="B996" t="s">
        <v>37</v>
      </c>
      <c r="C996">
        <v>2880</v>
      </c>
      <c r="D996" s="3" t="s">
        <v>342</v>
      </c>
      <c r="E996" t="s">
        <v>28</v>
      </c>
    </row>
    <row r="997" spans="1:5" x14ac:dyDescent="0.25">
      <c r="A997">
        <v>9019</v>
      </c>
      <c r="B997" t="s">
        <v>37</v>
      </c>
      <c r="C997">
        <v>2556</v>
      </c>
      <c r="D997" s="3" t="s">
        <v>351</v>
      </c>
      <c r="E997" t="s">
        <v>28</v>
      </c>
    </row>
    <row r="998" spans="1:5" x14ac:dyDescent="0.25">
      <c r="A998">
        <v>9026</v>
      </c>
      <c r="B998" t="s">
        <v>80</v>
      </c>
      <c r="C998">
        <v>2448</v>
      </c>
      <c r="D998" s="3" t="s">
        <v>342</v>
      </c>
      <c r="E998" t="s">
        <v>28</v>
      </c>
    </row>
    <row r="999" spans="1:5" x14ac:dyDescent="0.25">
      <c r="A999">
        <v>9029</v>
      </c>
      <c r="B999" t="s">
        <v>41</v>
      </c>
      <c r="C999">
        <v>540</v>
      </c>
      <c r="D999" s="3" t="s">
        <v>342</v>
      </c>
      <c r="E999" t="s">
        <v>28</v>
      </c>
    </row>
    <row r="1000" spans="1:5" x14ac:dyDescent="0.25">
      <c r="A1000">
        <v>9029</v>
      </c>
      <c r="B1000" t="s">
        <v>41</v>
      </c>
      <c r="C1000">
        <v>2088</v>
      </c>
      <c r="D1000" s="3" t="s">
        <v>351</v>
      </c>
      <c r="E1000" t="s">
        <v>28</v>
      </c>
    </row>
    <row r="1001" spans="1:5" x14ac:dyDescent="0.25">
      <c r="A1001">
        <v>9029</v>
      </c>
      <c r="B1001" t="s">
        <v>41</v>
      </c>
      <c r="C1001">
        <v>792</v>
      </c>
      <c r="D1001" s="3" t="s">
        <v>345</v>
      </c>
      <c r="E1001" t="s">
        <v>28</v>
      </c>
    </row>
    <row r="1002" spans="1:5" x14ac:dyDescent="0.25">
      <c r="A1002">
        <v>9031</v>
      </c>
      <c r="B1002" t="s">
        <v>42</v>
      </c>
      <c r="C1002">
        <v>2688</v>
      </c>
      <c r="D1002" s="3" t="s">
        <v>346</v>
      </c>
      <c r="E1002" t="s">
        <v>43</v>
      </c>
    </row>
    <row r="1003" spans="1:5" x14ac:dyDescent="0.25">
      <c r="A1003">
        <v>9033</v>
      </c>
      <c r="B1003" t="s">
        <v>81</v>
      </c>
      <c r="C1003">
        <v>640</v>
      </c>
      <c r="D1003" s="3" t="s">
        <v>343</v>
      </c>
      <c r="E1003" t="s">
        <v>15</v>
      </c>
    </row>
    <row r="1004" spans="1:5" x14ac:dyDescent="0.25">
      <c r="A1004">
        <v>9041</v>
      </c>
      <c r="B1004" t="s">
        <v>272</v>
      </c>
      <c r="C1004">
        <v>320</v>
      </c>
      <c r="D1004" s="3" t="s">
        <v>346</v>
      </c>
      <c r="E1004" t="s">
        <v>174</v>
      </c>
    </row>
    <row r="1005" spans="1:5" x14ac:dyDescent="0.25">
      <c r="A1005">
        <v>9042</v>
      </c>
      <c r="B1005" t="s">
        <v>312</v>
      </c>
      <c r="C1005">
        <v>260</v>
      </c>
      <c r="D1005" s="3" t="s">
        <v>346</v>
      </c>
      <c r="E1005" t="s">
        <v>174</v>
      </c>
    </row>
    <row r="1006" spans="1:5" x14ac:dyDescent="0.25">
      <c r="A1006">
        <v>9044</v>
      </c>
      <c r="B1006" t="s">
        <v>296</v>
      </c>
      <c r="C1006">
        <v>300</v>
      </c>
      <c r="D1006" s="3" t="s">
        <v>352</v>
      </c>
      <c r="E1006" t="s">
        <v>174</v>
      </c>
    </row>
    <row r="1007" spans="1:5" x14ac:dyDescent="0.25">
      <c r="A1007">
        <v>9045</v>
      </c>
      <c r="B1007" t="s">
        <v>297</v>
      </c>
      <c r="C1007">
        <v>228</v>
      </c>
      <c r="D1007" s="3" t="s">
        <v>348</v>
      </c>
      <c r="E1007" t="s">
        <v>174</v>
      </c>
    </row>
    <row r="1008" spans="1:5" x14ac:dyDescent="0.25">
      <c r="A1008">
        <v>9045</v>
      </c>
      <c r="B1008" t="s">
        <v>297</v>
      </c>
      <c r="C1008">
        <v>260</v>
      </c>
      <c r="D1008" s="3" t="s">
        <v>352</v>
      </c>
      <c r="E1008" t="s">
        <v>174</v>
      </c>
    </row>
    <row r="1009" spans="1:5" x14ac:dyDescent="0.25">
      <c r="A1009">
        <v>9053</v>
      </c>
      <c r="B1009" t="s">
        <v>44</v>
      </c>
      <c r="C1009">
        <v>1700</v>
      </c>
      <c r="D1009" s="3" t="s">
        <v>348</v>
      </c>
      <c r="E1009" t="s">
        <v>45</v>
      </c>
    </row>
    <row r="1010" spans="1:5" x14ac:dyDescent="0.25">
      <c r="A1010">
        <v>9053</v>
      </c>
      <c r="B1010" t="s">
        <v>44</v>
      </c>
      <c r="C1010">
        <v>280</v>
      </c>
      <c r="D1010" s="3" t="s">
        <v>349</v>
      </c>
      <c r="E1010" t="s">
        <v>45</v>
      </c>
    </row>
    <row r="1011" spans="1:5" x14ac:dyDescent="0.25">
      <c r="A1011">
        <v>9053</v>
      </c>
      <c r="B1011" t="s">
        <v>44</v>
      </c>
      <c r="C1011">
        <v>30</v>
      </c>
      <c r="D1011" s="3" t="s">
        <v>349</v>
      </c>
      <c r="E1011" t="s">
        <v>45</v>
      </c>
    </row>
    <row r="1012" spans="1:5" x14ac:dyDescent="0.25">
      <c r="A1012">
        <v>9053</v>
      </c>
      <c r="B1012" t="s">
        <v>44</v>
      </c>
      <c r="C1012">
        <v>640</v>
      </c>
      <c r="D1012" s="3" t="s">
        <v>352</v>
      </c>
      <c r="E1012" t="s">
        <v>45</v>
      </c>
    </row>
    <row r="1013" spans="1:5" x14ac:dyDescent="0.25">
      <c r="A1013">
        <v>9055</v>
      </c>
      <c r="B1013" t="s">
        <v>313</v>
      </c>
      <c r="C1013">
        <v>252</v>
      </c>
      <c r="D1013" s="3" t="s">
        <v>348</v>
      </c>
      <c r="E1013" t="s">
        <v>174</v>
      </c>
    </row>
    <row r="1014" spans="1:5" x14ac:dyDescent="0.25">
      <c r="A1014">
        <v>9188</v>
      </c>
      <c r="B1014" t="s">
        <v>48</v>
      </c>
      <c r="C1014">
        <v>3420</v>
      </c>
      <c r="D1014" s="3" t="s">
        <v>349</v>
      </c>
      <c r="E1014" t="s">
        <v>15</v>
      </c>
    </row>
    <row r="1015" spans="1:5" x14ac:dyDescent="0.25">
      <c r="A1015">
        <v>9188</v>
      </c>
      <c r="B1015" t="s">
        <v>48</v>
      </c>
      <c r="C1015">
        <v>4010</v>
      </c>
      <c r="D1015" s="3" t="s">
        <v>343</v>
      </c>
      <c r="E1015" t="s">
        <v>15</v>
      </c>
    </row>
    <row r="1016" spans="1:5" x14ac:dyDescent="0.25">
      <c r="A1016">
        <v>9188</v>
      </c>
      <c r="B1016" t="s">
        <v>48</v>
      </c>
      <c r="C1016">
        <v>2170</v>
      </c>
      <c r="D1016" s="3" t="s">
        <v>347</v>
      </c>
      <c r="E1016" t="s">
        <v>15</v>
      </c>
    </row>
    <row r="1017" spans="1:5" x14ac:dyDescent="0.25">
      <c r="A1017">
        <v>9188</v>
      </c>
      <c r="B1017" t="s">
        <v>48</v>
      </c>
      <c r="C1017">
        <v>640</v>
      </c>
      <c r="D1017" s="3" t="s">
        <v>351</v>
      </c>
      <c r="E1017" t="s">
        <v>15</v>
      </c>
    </row>
    <row r="1018" spans="1:5" x14ac:dyDescent="0.25">
      <c r="A1018">
        <v>9188</v>
      </c>
      <c r="B1018" t="s">
        <v>48</v>
      </c>
      <c r="C1018">
        <v>1820</v>
      </c>
      <c r="D1018" s="3" t="s">
        <v>352</v>
      </c>
      <c r="E1018" t="s">
        <v>15</v>
      </c>
    </row>
    <row r="1019" spans="1:5" x14ac:dyDescent="0.25">
      <c r="A1019">
        <v>9201</v>
      </c>
      <c r="B1019" t="s">
        <v>50</v>
      </c>
      <c r="C1019">
        <v>1200</v>
      </c>
      <c r="D1019" s="3" t="s">
        <v>343</v>
      </c>
      <c r="E1019" t="s">
        <v>15</v>
      </c>
    </row>
    <row r="1020" spans="1:5" x14ac:dyDescent="0.25">
      <c r="A1020">
        <v>9211</v>
      </c>
      <c r="B1020" t="s">
        <v>51</v>
      </c>
      <c r="C1020">
        <v>648</v>
      </c>
      <c r="D1020" s="3" t="s">
        <v>345</v>
      </c>
      <c r="E1020" t="s">
        <v>28</v>
      </c>
    </row>
    <row r="1021" spans="1:5" x14ac:dyDescent="0.25">
      <c r="A1021">
        <v>9237</v>
      </c>
      <c r="B1021" t="s">
        <v>53</v>
      </c>
      <c r="C1021">
        <v>108</v>
      </c>
      <c r="D1021" s="3" t="s">
        <v>344</v>
      </c>
      <c r="E1021" t="s">
        <v>15</v>
      </c>
    </row>
    <row r="1022" spans="1:5" x14ac:dyDescent="0.25">
      <c r="A1022">
        <v>9240</v>
      </c>
      <c r="B1022" t="s">
        <v>54</v>
      </c>
      <c r="C1022">
        <v>576</v>
      </c>
      <c r="D1022" s="3" t="s">
        <v>344</v>
      </c>
      <c r="E1022" t="s">
        <v>15</v>
      </c>
    </row>
    <row r="1023" spans="1:5" x14ac:dyDescent="0.25">
      <c r="A1023">
        <v>9241</v>
      </c>
      <c r="B1023" t="s">
        <v>55</v>
      </c>
      <c r="C1023">
        <v>3636</v>
      </c>
      <c r="D1023" s="3" t="s">
        <v>344</v>
      </c>
      <c r="E1023" t="s">
        <v>28</v>
      </c>
    </row>
    <row r="1024" spans="1:5" x14ac:dyDescent="0.25">
      <c r="A1024">
        <v>2283</v>
      </c>
      <c r="B1024" t="s">
        <v>152</v>
      </c>
      <c r="C1024">
        <v>1024</v>
      </c>
      <c r="D1024" s="3" t="s">
        <v>353</v>
      </c>
      <c r="E1024" t="s">
        <v>7</v>
      </c>
    </row>
    <row r="1025" spans="1:5" x14ac:dyDescent="0.25">
      <c r="A1025">
        <v>2283</v>
      </c>
      <c r="B1025" t="s">
        <v>152</v>
      </c>
      <c r="C1025">
        <v>2696</v>
      </c>
      <c r="D1025" s="3" t="s">
        <v>354</v>
      </c>
      <c r="E1025" t="s">
        <v>7</v>
      </c>
    </row>
    <row r="1026" spans="1:5" x14ac:dyDescent="0.25">
      <c r="A1026">
        <v>2285</v>
      </c>
      <c r="B1026" t="s">
        <v>299</v>
      </c>
      <c r="C1026">
        <v>160</v>
      </c>
      <c r="D1026" s="3" t="s">
        <v>355</v>
      </c>
      <c r="E1026" t="s">
        <v>7</v>
      </c>
    </row>
    <row r="1027" spans="1:5" x14ac:dyDescent="0.25">
      <c r="A1027">
        <v>2285</v>
      </c>
      <c r="B1027" t="s">
        <v>299</v>
      </c>
      <c r="C1027">
        <v>760</v>
      </c>
      <c r="D1027" s="3" t="s">
        <v>356</v>
      </c>
      <c r="E1027" t="s">
        <v>7</v>
      </c>
    </row>
    <row r="1028" spans="1:5" x14ac:dyDescent="0.25">
      <c r="A1028">
        <v>2543</v>
      </c>
      <c r="B1028" t="s">
        <v>161</v>
      </c>
      <c r="C1028">
        <v>656</v>
      </c>
      <c r="D1028" s="3" t="s">
        <v>357</v>
      </c>
      <c r="E1028" t="s">
        <v>7</v>
      </c>
    </row>
    <row r="1029" spans="1:5" x14ac:dyDescent="0.25">
      <c r="A1029">
        <v>2543</v>
      </c>
      <c r="B1029" t="s">
        <v>161</v>
      </c>
      <c r="C1029">
        <v>1408</v>
      </c>
      <c r="D1029" s="3" t="s">
        <v>358</v>
      </c>
      <c r="E1029" t="s">
        <v>7</v>
      </c>
    </row>
    <row r="1030" spans="1:5" x14ac:dyDescent="0.25">
      <c r="A1030">
        <v>2553</v>
      </c>
      <c r="B1030" t="s">
        <v>162</v>
      </c>
      <c r="C1030">
        <v>1290</v>
      </c>
      <c r="D1030" s="3" t="s">
        <v>359</v>
      </c>
      <c r="E1030" t="s">
        <v>7</v>
      </c>
    </row>
    <row r="1031" spans="1:5" x14ac:dyDescent="0.25">
      <c r="A1031">
        <v>2553</v>
      </c>
      <c r="B1031" t="s">
        <v>162</v>
      </c>
      <c r="C1031">
        <v>930</v>
      </c>
      <c r="D1031" s="3" t="s">
        <v>360</v>
      </c>
      <c r="E1031" t="s">
        <v>7</v>
      </c>
    </row>
    <row r="1032" spans="1:5" x14ac:dyDescent="0.25">
      <c r="A1032">
        <v>2553</v>
      </c>
      <c r="B1032" t="s">
        <v>162</v>
      </c>
      <c r="C1032">
        <v>900</v>
      </c>
      <c r="D1032" s="3" t="s">
        <v>356</v>
      </c>
      <c r="E1032" t="s">
        <v>7</v>
      </c>
    </row>
    <row r="1033" spans="1:5" x14ac:dyDescent="0.25">
      <c r="A1033">
        <v>2737</v>
      </c>
      <c r="B1033" t="s">
        <v>134</v>
      </c>
      <c r="C1033">
        <v>840</v>
      </c>
      <c r="D1033" s="3" t="s">
        <v>355</v>
      </c>
      <c r="E1033" t="s">
        <v>15</v>
      </c>
    </row>
    <row r="1034" spans="1:5" x14ac:dyDescent="0.25">
      <c r="A1034">
        <v>2737</v>
      </c>
      <c r="B1034" t="s">
        <v>134</v>
      </c>
      <c r="C1034">
        <v>660</v>
      </c>
      <c r="D1034" s="3" t="s">
        <v>361</v>
      </c>
      <c r="E1034" t="s">
        <v>15</v>
      </c>
    </row>
    <row r="1035" spans="1:5" x14ac:dyDescent="0.25">
      <c r="A1035">
        <v>2738</v>
      </c>
      <c r="B1035" t="s">
        <v>16</v>
      </c>
      <c r="C1035">
        <v>3600</v>
      </c>
      <c r="D1035" s="3" t="s">
        <v>362</v>
      </c>
      <c r="E1035" t="s">
        <v>15</v>
      </c>
    </row>
    <row r="1036" spans="1:5" x14ac:dyDescent="0.25">
      <c r="A1036">
        <v>2738</v>
      </c>
      <c r="B1036" t="s">
        <v>16</v>
      </c>
      <c r="C1036">
        <v>4080</v>
      </c>
      <c r="D1036" s="3" t="s">
        <v>363</v>
      </c>
      <c r="E1036" t="s">
        <v>15</v>
      </c>
    </row>
    <row r="1037" spans="1:5" x14ac:dyDescent="0.25">
      <c r="A1037">
        <v>2738</v>
      </c>
      <c r="B1037" t="s">
        <v>16</v>
      </c>
      <c r="C1037">
        <v>7440</v>
      </c>
      <c r="D1037" s="3" t="s">
        <v>364</v>
      </c>
      <c r="E1037" t="s">
        <v>15</v>
      </c>
    </row>
    <row r="1038" spans="1:5" x14ac:dyDescent="0.25">
      <c r="A1038">
        <v>2738</v>
      </c>
      <c r="B1038" t="s">
        <v>16</v>
      </c>
      <c r="C1038">
        <v>1020</v>
      </c>
      <c r="D1038" s="3" t="s">
        <v>353</v>
      </c>
      <c r="E1038" t="s">
        <v>15</v>
      </c>
    </row>
    <row r="1039" spans="1:5" x14ac:dyDescent="0.25">
      <c r="A1039">
        <v>2738</v>
      </c>
      <c r="B1039" t="s">
        <v>16</v>
      </c>
      <c r="C1039">
        <v>1860</v>
      </c>
      <c r="D1039" s="3" t="s">
        <v>359</v>
      </c>
      <c r="E1039" t="s">
        <v>15</v>
      </c>
    </row>
    <row r="1040" spans="1:5" x14ac:dyDescent="0.25">
      <c r="A1040">
        <v>2738</v>
      </c>
      <c r="B1040" t="s">
        <v>16</v>
      </c>
      <c r="C1040">
        <v>5325</v>
      </c>
      <c r="D1040" s="3" t="s">
        <v>365</v>
      </c>
      <c r="E1040" t="s">
        <v>15</v>
      </c>
    </row>
    <row r="1041" spans="1:5" x14ac:dyDescent="0.25">
      <c r="A1041">
        <v>2738</v>
      </c>
      <c r="B1041" t="s">
        <v>16</v>
      </c>
      <c r="C1041">
        <v>5475</v>
      </c>
      <c r="D1041" s="3" t="s">
        <v>366</v>
      </c>
      <c r="E1041" t="s">
        <v>15</v>
      </c>
    </row>
    <row r="1042" spans="1:5" x14ac:dyDescent="0.25">
      <c r="A1042">
        <v>2738</v>
      </c>
      <c r="B1042" t="s">
        <v>16</v>
      </c>
      <c r="C1042">
        <v>7200</v>
      </c>
      <c r="D1042" s="3" t="s">
        <v>355</v>
      </c>
      <c r="E1042" t="s">
        <v>15</v>
      </c>
    </row>
    <row r="1043" spans="1:5" x14ac:dyDescent="0.25">
      <c r="A1043">
        <v>2738</v>
      </c>
      <c r="B1043" t="s">
        <v>16</v>
      </c>
      <c r="C1043">
        <v>6660</v>
      </c>
      <c r="D1043" s="3" t="s">
        <v>360</v>
      </c>
      <c r="E1043" t="s">
        <v>15</v>
      </c>
    </row>
    <row r="1044" spans="1:5" x14ac:dyDescent="0.25">
      <c r="A1044">
        <v>2738</v>
      </c>
      <c r="B1044" t="s">
        <v>16</v>
      </c>
      <c r="C1044">
        <v>5370</v>
      </c>
      <c r="D1044" s="3" t="s">
        <v>354</v>
      </c>
      <c r="E1044" t="s">
        <v>15</v>
      </c>
    </row>
    <row r="1045" spans="1:5" x14ac:dyDescent="0.25">
      <c r="A1045">
        <v>2738</v>
      </c>
      <c r="B1045" t="s">
        <v>16</v>
      </c>
      <c r="C1045">
        <v>6870</v>
      </c>
      <c r="D1045" s="3" t="s">
        <v>357</v>
      </c>
      <c r="E1045" t="s">
        <v>15</v>
      </c>
    </row>
    <row r="1046" spans="1:5" x14ac:dyDescent="0.25">
      <c r="A1046">
        <v>2738</v>
      </c>
      <c r="B1046" t="s">
        <v>16</v>
      </c>
      <c r="C1046">
        <v>4320</v>
      </c>
      <c r="D1046" s="3" t="s">
        <v>367</v>
      </c>
      <c r="E1046" t="s">
        <v>15</v>
      </c>
    </row>
    <row r="1047" spans="1:5" x14ac:dyDescent="0.25">
      <c r="A1047">
        <v>2738</v>
      </c>
      <c r="B1047" t="s">
        <v>16</v>
      </c>
      <c r="C1047">
        <v>3600</v>
      </c>
      <c r="D1047" s="3" t="s">
        <v>358</v>
      </c>
      <c r="E1047" t="s">
        <v>15</v>
      </c>
    </row>
    <row r="1048" spans="1:5" x14ac:dyDescent="0.25">
      <c r="A1048">
        <v>2738</v>
      </c>
      <c r="B1048" t="s">
        <v>16</v>
      </c>
      <c r="C1048">
        <v>3600</v>
      </c>
      <c r="D1048" s="3" t="s">
        <v>356</v>
      </c>
      <c r="E1048" t="s">
        <v>15</v>
      </c>
    </row>
    <row r="1049" spans="1:5" x14ac:dyDescent="0.25">
      <c r="A1049">
        <v>2738</v>
      </c>
      <c r="B1049" t="s">
        <v>16</v>
      </c>
      <c r="C1049">
        <v>7920</v>
      </c>
      <c r="D1049" s="3" t="s">
        <v>368</v>
      </c>
      <c r="E1049" t="s">
        <v>15</v>
      </c>
    </row>
    <row r="1050" spans="1:5" x14ac:dyDescent="0.25">
      <c r="A1050">
        <v>2738</v>
      </c>
      <c r="B1050" t="s">
        <v>16</v>
      </c>
      <c r="C1050">
        <v>7920</v>
      </c>
      <c r="D1050" s="3" t="s">
        <v>369</v>
      </c>
      <c r="E1050" t="s">
        <v>15</v>
      </c>
    </row>
    <row r="1051" spans="1:5" x14ac:dyDescent="0.25">
      <c r="A1051">
        <v>2738</v>
      </c>
      <c r="B1051" t="s">
        <v>16</v>
      </c>
      <c r="C1051">
        <v>4320</v>
      </c>
      <c r="D1051" s="3" t="s">
        <v>370</v>
      </c>
      <c r="E1051" t="s">
        <v>15</v>
      </c>
    </row>
    <row r="1052" spans="1:5" x14ac:dyDescent="0.25">
      <c r="A1052">
        <v>2738</v>
      </c>
      <c r="B1052" t="s">
        <v>16</v>
      </c>
      <c r="C1052">
        <v>3345</v>
      </c>
      <c r="D1052" s="3" t="s">
        <v>371</v>
      </c>
      <c r="E1052" t="s">
        <v>15</v>
      </c>
    </row>
    <row r="1053" spans="1:5" x14ac:dyDescent="0.25">
      <c r="A1053">
        <v>2738</v>
      </c>
      <c r="B1053" t="s">
        <v>16</v>
      </c>
      <c r="C1053">
        <v>6045</v>
      </c>
      <c r="D1053" s="3" t="s">
        <v>361</v>
      </c>
      <c r="E1053" t="s">
        <v>15</v>
      </c>
    </row>
    <row r="1054" spans="1:5" x14ac:dyDescent="0.25">
      <c r="A1054">
        <v>4808</v>
      </c>
      <c r="B1054" t="s">
        <v>241</v>
      </c>
      <c r="C1054">
        <v>1664</v>
      </c>
      <c r="D1054" s="3" t="s">
        <v>362</v>
      </c>
      <c r="E1054" t="s">
        <v>25</v>
      </c>
    </row>
    <row r="1055" spans="1:5" x14ac:dyDescent="0.25">
      <c r="A1055">
        <v>4808</v>
      </c>
      <c r="B1055" t="s">
        <v>241</v>
      </c>
      <c r="C1055">
        <v>560</v>
      </c>
      <c r="D1055" s="3" t="s">
        <v>353</v>
      </c>
      <c r="E1055" t="s">
        <v>25</v>
      </c>
    </row>
    <row r="1056" spans="1:5" x14ac:dyDescent="0.25">
      <c r="A1056">
        <v>4808</v>
      </c>
      <c r="B1056" t="s">
        <v>241</v>
      </c>
      <c r="C1056">
        <v>2240</v>
      </c>
      <c r="D1056" s="3" t="s">
        <v>354</v>
      </c>
      <c r="E1056" t="s">
        <v>25</v>
      </c>
    </row>
    <row r="1057" spans="1:5" x14ac:dyDescent="0.25">
      <c r="A1057">
        <v>4808</v>
      </c>
      <c r="B1057" t="s">
        <v>241</v>
      </c>
      <c r="C1057">
        <v>1720</v>
      </c>
      <c r="D1057" s="3" t="s">
        <v>356</v>
      </c>
      <c r="E1057" t="s">
        <v>25</v>
      </c>
    </row>
    <row r="1058" spans="1:5" x14ac:dyDescent="0.25">
      <c r="A1058">
        <v>4855</v>
      </c>
      <c r="B1058" t="s">
        <v>242</v>
      </c>
      <c r="C1058">
        <v>1696</v>
      </c>
      <c r="D1058" s="3" t="s">
        <v>362</v>
      </c>
      <c r="E1058" t="s">
        <v>25</v>
      </c>
    </row>
    <row r="1059" spans="1:5" x14ac:dyDescent="0.25">
      <c r="A1059">
        <v>4855</v>
      </c>
      <c r="B1059" t="s">
        <v>242</v>
      </c>
      <c r="C1059">
        <v>560</v>
      </c>
      <c r="D1059" s="3" t="s">
        <v>359</v>
      </c>
      <c r="E1059" t="s">
        <v>25</v>
      </c>
    </row>
    <row r="1060" spans="1:5" x14ac:dyDescent="0.25">
      <c r="A1060">
        <v>4855</v>
      </c>
      <c r="B1060" t="s">
        <v>242</v>
      </c>
      <c r="C1060">
        <v>600</v>
      </c>
      <c r="D1060" s="3" t="s">
        <v>360</v>
      </c>
      <c r="E1060" t="s">
        <v>25</v>
      </c>
    </row>
    <row r="1061" spans="1:5" x14ac:dyDescent="0.25">
      <c r="A1061">
        <v>4855</v>
      </c>
      <c r="B1061" t="s">
        <v>242</v>
      </c>
      <c r="C1061">
        <v>1776</v>
      </c>
      <c r="D1061" s="3" t="s">
        <v>357</v>
      </c>
      <c r="E1061" t="s">
        <v>25</v>
      </c>
    </row>
    <row r="1062" spans="1:5" x14ac:dyDescent="0.25">
      <c r="A1062">
        <v>4855</v>
      </c>
      <c r="B1062" t="s">
        <v>242</v>
      </c>
      <c r="C1062">
        <v>952</v>
      </c>
      <c r="D1062" s="3" t="s">
        <v>356</v>
      </c>
      <c r="E1062" t="s">
        <v>25</v>
      </c>
    </row>
    <row r="1063" spans="1:5" x14ac:dyDescent="0.25">
      <c r="A1063">
        <v>4906</v>
      </c>
      <c r="B1063" t="s">
        <v>372</v>
      </c>
      <c r="C1063">
        <v>3210</v>
      </c>
      <c r="D1063" s="3" t="s">
        <v>368</v>
      </c>
      <c r="E1063" t="s">
        <v>25</v>
      </c>
    </row>
    <row r="1064" spans="1:5" x14ac:dyDescent="0.25">
      <c r="A1064">
        <v>4906</v>
      </c>
      <c r="B1064" t="s">
        <v>372</v>
      </c>
      <c r="C1064">
        <v>2520</v>
      </c>
      <c r="D1064" s="3" t="s">
        <v>356</v>
      </c>
      <c r="E1064" t="s">
        <v>25</v>
      </c>
    </row>
    <row r="1065" spans="1:5" x14ac:dyDescent="0.25">
      <c r="A1065">
        <v>9000</v>
      </c>
      <c r="B1065" t="s">
        <v>27</v>
      </c>
      <c r="C1065">
        <v>837</v>
      </c>
      <c r="D1065" s="3" t="s">
        <v>364</v>
      </c>
      <c r="E1065" t="s">
        <v>28</v>
      </c>
    </row>
    <row r="1066" spans="1:5" x14ac:dyDescent="0.25">
      <c r="A1066">
        <v>9000</v>
      </c>
      <c r="B1066" t="s">
        <v>27</v>
      </c>
      <c r="C1066">
        <v>10854</v>
      </c>
      <c r="D1066" s="3" t="s">
        <v>353</v>
      </c>
      <c r="E1066" t="s">
        <v>28</v>
      </c>
    </row>
    <row r="1067" spans="1:5" x14ac:dyDescent="0.25">
      <c r="A1067">
        <v>9000</v>
      </c>
      <c r="B1067" t="s">
        <v>27</v>
      </c>
      <c r="C1067">
        <v>9909</v>
      </c>
      <c r="D1067" s="3" t="s">
        <v>359</v>
      </c>
      <c r="E1067" t="s">
        <v>28</v>
      </c>
    </row>
    <row r="1068" spans="1:5" x14ac:dyDescent="0.25">
      <c r="A1068">
        <v>9000</v>
      </c>
      <c r="B1068" t="s">
        <v>27</v>
      </c>
      <c r="C1068">
        <v>7182</v>
      </c>
      <c r="D1068" s="3" t="s">
        <v>371</v>
      </c>
      <c r="E1068" t="s">
        <v>28</v>
      </c>
    </row>
    <row r="1069" spans="1:5" x14ac:dyDescent="0.25">
      <c r="A1069">
        <v>9000</v>
      </c>
      <c r="B1069" t="s">
        <v>27</v>
      </c>
      <c r="C1069">
        <v>8640</v>
      </c>
      <c r="D1069" s="3" t="s">
        <v>361</v>
      </c>
      <c r="E1069" t="s">
        <v>28</v>
      </c>
    </row>
    <row r="1070" spans="1:5" x14ac:dyDescent="0.25">
      <c r="A1070">
        <v>9001</v>
      </c>
      <c r="B1070" t="s">
        <v>29</v>
      </c>
      <c r="C1070">
        <v>3420</v>
      </c>
      <c r="D1070" s="3" t="s">
        <v>362</v>
      </c>
      <c r="E1070" t="s">
        <v>28</v>
      </c>
    </row>
    <row r="1071" spans="1:5" x14ac:dyDescent="0.25">
      <c r="A1071">
        <v>9001</v>
      </c>
      <c r="B1071" t="s">
        <v>29</v>
      </c>
      <c r="C1071">
        <v>4608</v>
      </c>
      <c r="D1071" s="3" t="s">
        <v>363</v>
      </c>
      <c r="E1071" t="s">
        <v>28</v>
      </c>
    </row>
    <row r="1072" spans="1:5" x14ac:dyDescent="0.25">
      <c r="A1072">
        <v>9001</v>
      </c>
      <c r="B1072" t="s">
        <v>29</v>
      </c>
      <c r="C1072">
        <v>7380</v>
      </c>
      <c r="D1072" s="3" t="s">
        <v>364</v>
      </c>
      <c r="E1072" t="s">
        <v>28</v>
      </c>
    </row>
    <row r="1073" spans="1:5" x14ac:dyDescent="0.25">
      <c r="A1073">
        <v>9001</v>
      </c>
      <c r="B1073" t="s">
        <v>29</v>
      </c>
      <c r="C1073">
        <v>2880</v>
      </c>
      <c r="D1073" s="3" t="s">
        <v>365</v>
      </c>
      <c r="E1073" t="s">
        <v>28</v>
      </c>
    </row>
    <row r="1074" spans="1:5" x14ac:dyDescent="0.25">
      <c r="A1074">
        <v>9001</v>
      </c>
      <c r="B1074" t="s">
        <v>29</v>
      </c>
      <c r="C1074">
        <v>3096</v>
      </c>
      <c r="D1074" s="3" t="s">
        <v>373</v>
      </c>
      <c r="E1074" t="s">
        <v>28</v>
      </c>
    </row>
    <row r="1075" spans="1:5" x14ac:dyDescent="0.25">
      <c r="A1075">
        <v>9001</v>
      </c>
      <c r="B1075" t="s">
        <v>29</v>
      </c>
      <c r="C1075">
        <v>2304</v>
      </c>
      <c r="D1075" s="3" t="s">
        <v>357</v>
      </c>
      <c r="E1075" t="s">
        <v>28</v>
      </c>
    </row>
    <row r="1076" spans="1:5" x14ac:dyDescent="0.25">
      <c r="A1076">
        <v>9001</v>
      </c>
      <c r="B1076" t="s">
        <v>29</v>
      </c>
      <c r="C1076">
        <v>3204</v>
      </c>
      <c r="D1076" s="3" t="s">
        <v>367</v>
      </c>
      <c r="E1076" t="s">
        <v>28</v>
      </c>
    </row>
    <row r="1077" spans="1:5" x14ac:dyDescent="0.25">
      <c r="A1077">
        <v>9001</v>
      </c>
      <c r="B1077" t="s">
        <v>29</v>
      </c>
      <c r="C1077">
        <v>6624</v>
      </c>
      <c r="D1077" s="3" t="s">
        <v>356</v>
      </c>
      <c r="E1077" t="s">
        <v>28</v>
      </c>
    </row>
    <row r="1078" spans="1:5" x14ac:dyDescent="0.25">
      <c r="A1078">
        <v>9001</v>
      </c>
      <c r="B1078" t="s">
        <v>29</v>
      </c>
      <c r="C1078">
        <v>8028</v>
      </c>
      <c r="D1078" s="3" t="s">
        <v>369</v>
      </c>
      <c r="E1078" t="s">
        <v>28</v>
      </c>
    </row>
    <row r="1079" spans="1:5" x14ac:dyDescent="0.25">
      <c r="A1079">
        <v>9001</v>
      </c>
      <c r="B1079" t="s">
        <v>29</v>
      </c>
      <c r="C1079">
        <v>5004</v>
      </c>
      <c r="D1079" s="3" t="s">
        <v>370</v>
      </c>
      <c r="E1079" t="s">
        <v>28</v>
      </c>
    </row>
    <row r="1080" spans="1:5" x14ac:dyDescent="0.25">
      <c r="A1080">
        <v>9001</v>
      </c>
      <c r="B1080" t="s">
        <v>29</v>
      </c>
      <c r="C1080">
        <v>3564</v>
      </c>
      <c r="D1080" s="3" t="s">
        <v>371</v>
      </c>
      <c r="E1080" t="s">
        <v>28</v>
      </c>
    </row>
    <row r="1081" spans="1:5" x14ac:dyDescent="0.25">
      <c r="A1081">
        <v>9003</v>
      </c>
      <c r="B1081" t="s">
        <v>32</v>
      </c>
      <c r="C1081">
        <v>2484</v>
      </c>
      <c r="D1081" s="3" t="s">
        <v>362</v>
      </c>
      <c r="E1081" t="s">
        <v>28</v>
      </c>
    </row>
    <row r="1082" spans="1:5" x14ac:dyDescent="0.25">
      <c r="A1082">
        <v>9003</v>
      </c>
      <c r="B1082" t="s">
        <v>32</v>
      </c>
      <c r="C1082">
        <v>792</v>
      </c>
      <c r="D1082" s="3" t="s">
        <v>363</v>
      </c>
      <c r="E1082" t="s">
        <v>28</v>
      </c>
    </row>
    <row r="1083" spans="1:5" x14ac:dyDescent="0.25">
      <c r="A1083">
        <v>9003</v>
      </c>
      <c r="B1083" t="s">
        <v>32</v>
      </c>
      <c r="C1083">
        <v>900</v>
      </c>
      <c r="D1083" s="3" t="s">
        <v>353</v>
      </c>
      <c r="E1083" t="s">
        <v>28</v>
      </c>
    </row>
    <row r="1084" spans="1:5" x14ac:dyDescent="0.25">
      <c r="A1084">
        <v>9003</v>
      </c>
      <c r="B1084" t="s">
        <v>32</v>
      </c>
      <c r="C1084">
        <v>1404</v>
      </c>
      <c r="D1084" s="3" t="s">
        <v>359</v>
      </c>
      <c r="E1084" t="s">
        <v>28</v>
      </c>
    </row>
    <row r="1085" spans="1:5" x14ac:dyDescent="0.25">
      <c r="A1085">
        <v>9003</v>
      </c>
      <c r="B1085" t="s">
        <v>32</v>
      </c>
      <c r="C1085">
        <v>4428</v>
      </c>
      <c r="D1085" s="3" t="s">
        <v>365</v>
      </c>
      <c r="E1085" t="s">
        <v>28</v>
      </c>
    </row>
    <row r="1086" spans="1:5" x14ac:dyDescent="0.25">
      <c r="A1086">
        <v>9003</v>
      </c>
      <c r="B1086" t="s">
        <v>32</v>
      </c>
      <c r="C1086">
        <v>2520</v>
      </c>
      <c r="D1086" s="3" t="s">
        <v>373</v>
      </c>
      <c r="E1086" t="s">
        <v>28</v>
      </c>
    </row>
    <row r="1087" spans="1:5" x14ac:dyDescent="0.25">
      <c r="A1087">
        <v>9003</v>
      </c>
      <c r="B1087" t="s">
        <v>32</v>
      </c>
      <c r="C1087">
        <v>3852</v>
      </c>
      <c r="D1087" s="3" t="s">
        <v>357</v>
      </c>
      <c r="E1087" t="s">
        <v>28</v>
      </c>
    </row>
    <row r="1088" spans="1:5" x14ac:dyDescent="0.25">
      <c r="A1088">
        <v>9003</v>
      </c>
      <c r="B1088" t="s">
        <v>32</v>
      </c>
      <c r="C1088">
        <v>1476</v>
      </c>
      <c r="D1088" s="3" t="s">
        <v>367</v>
      </c>
      <c r="E1088" t="s">
        <v>28</v>
      </c>
    </row>
    <row r="1089" spans="1:5" x14ac:dyDescent="0.25">
      <c r="A1089">
        <v>9003</v>
      </c>
      <c r="B1089" t="s">
        <v>32</v>
      </c>
      <c r="C1089">
        <v>1980</v>
      </c>
      <c r="D1089" s="3" t="s">
        <v>356</v>
      </c>
      <c r="E1089" t="s">
        <v>28</v>
      </c>
    </row>
    <row r="1090" spans="1:5" x14ac:dyDescent="0.25">
      <c r="A1090">
        <v>9003</v>
      </c>
      <c r="B1090" t="s">
        <v>32</v>
      </c>
      <c r="C1090">
        <v>2304</v>
      </c>
      <c r="D1090" s="3" t="s">
        <v>369</v>
      </c>
      <c r="E1090" t="s">
        <v>28</v>
      </c>
    </row>
    <row r="1091" spans="1:5" x14ac:dyDescent="0.25">
      <c r="A1091">
        <v>9003</v>
      </c>
      <c r="B1091" t="s">
        <v>32</v>
      </c>
      <c r="C1091">
        <v>4032</v>
      </c>
      <c r="D1091" s="3" t="s">
        <v>370</v>
      </c>
      <c r="E1091" t="s">
        <v>28</v>
      </c>
    </row>
    <row r="1092" spans="1:5" x14ac:dyDescent="0.25">
      <c r="A1092">
        <v>9003</v>
      </c>
      <c r="B1092" t="s">
        <v>32</v>
      </c>
      <c r="C1092">
        <v>2412</v>
      </c>
      <c r="D1092" s="3" t="s">
        <v>371</v>
      </c>
      <c r="E1092" t="s">
        <v>28</v>
      </c>
    </row>
    <row r="1093" spans="1:5" x14ac:dyDescent="0.25">
      <c r="A1093">
        <v>9003</v>
      </c>
      <c r="B1093" t="s">
        <v>32</v>
      </c>
      <c r="C1093">
        <v>2880</v>
      </c>
      <c r="D1093" s="3" t="s">
        <v>361</v>
      </c>
      <c r="E1093" t="s">
        <v>28</v>
      </c>
    </row>
    <row r="1094" spans="1:5" x14ac:dyDescent="0.25">
      <c r="A1094">
        <v>9004</v>
      </c>
      <c r="B1094" t="s">
        <v>33</v>
      </c>
      <c r="C1094">
        <v>720</v>
      </c>
      <c r="D1094" s="3" t="s">
        <v>364</v>
      </c>
      <c r="E1094" t="s">
        <v>28</v>
      </c>
    </row>
    <row r="1095" spans="1:5" x14ac:dyDescent="0.25">
      <c r="A1095">
        <v>9004</v>
      </c>
      <c r="B1095" t="s">
        <v>33</v>
      </c>
      <c r="C1095">
        <v>900</v>
      </c>
      <c r="D1095" s="3" t="s">
        <v>367</v>
      </c>
      <c r="E1095" t="s">
        <v>28</v>
      </c>
    </row>
    <row r="1096" spans="1:5" x14ac:dyDescent="0.25">
      <c r="A1096">
        <v>9005</v>
      </c>
      <c r="B1096" t="s">
        <v>34</v>
      </c>
      <c r="C1096">
        <v>864</v>
      </c>
      <c r="D1096" s="3" t="s">
        <v>363</v>
      </c>
      <c r="E1096" t="s">
        <v>28</v>
      </c>
    </row>
    <row r="1097" spans="1:5" x14ac:dyDescent="0.25">
      <c r="A1097">
        <v>9005</v>
      </c>
      <c r="B1097" t="s">
        <v>34</v>
      </c>
      <c r="C1097">
        <v>648</v>
      </c>
      <c r="D1097" s="3" t="s">
        <v>361</v>
      </c>
      <c r="E1097" t="s">
        <v>28</v>
      </c>
    </row>
    <row r="1098" spans="1:5" x14ac:dyDescent="0.25">
      <c r="A1098">
        <v>9009</v>
      </c>
      <c r="B1098" t="s">
        <v>77</v>
      </c>
      <c r="C1098">
        <v>900</v>
      </c>
      <c r="D1098" s="3" t="s">
        <v>363</v>
      </c>
      <c r="E1098" t="s">
        <v>28</v>
      </c>
    </row>
    <row r="1099" spans="1:5" x14ac:dyDescent="0.25">
      <c r="A1099">
        <v>9011</v>
      </c>
      <c r="B1099" t="s">
        <v>78</v>
      </c>
      <c r="C1099">
        <v>3960</v>
      </c>
      <c r="D1099" s="3" t="s">
        <v>362</v>
      </c>
      <c r="E1099" t="s">
        <v>28</v>
      </c>
    </row>
    <row r="1100" spans="1:5" x14ac:dyDescent="0.25">
      <c r="A1100">
        <v>9011</v>
      </c>
      <c r="B1100" t="s">
        <v>78</v>
      </c>
      <c r="C1100">
        <v>1836</v>
      </c>
      <c r="D1100" s="3" t="s">
        <v>357</v>
      </c>
      <c r="E1100" t="s">
        <v>28</v>
      </c>
    </row>
    <row r="1101" spans="1:5" x14ac:dyDescent="0.25">
      <c r="A1101">
        <v>9013</v>
      </c>
      <c r="B1101" t="s">
        <v>35</v>
      </c>
      <c r="C1101">
        <v>900</v>
      </c>
      <c r="D1101" s="3" t="s">
        <v>362</v>
      </c>
      <c r="E1101" t="s">
        <v>28</v>
      </c>
    </row>
    <row r="1102" spans="1:5" x14ac:dyDescent="0.25">
      <c r="A1102">
        <v>9013</v>
      </c>
      <c r="B1102" t="s">
        <v>35</v>
      </c>
      <c r="C1102">
        <v>1440</v>
      </c>
      <c r="D1102" s="3" t="s">
        <v>365</v>
      </c>
      <c r="E1102" t="s">
        <v>28</v>
      </c>
    </row>
    <row r="1103" spans="1:5" x14ac:dyDescent="0.25">
      <c r="A1103">
        <v>9013</v>
      </c>
      <c r="B1103" t="s">
        <v>35</v>
      </c>
      <c r="C1103">
        <v>3276</v>
      </c>
      <c r="D1103" s="3" t="s">
        <v>373</v>
      </c>
      <c r="E1103" t="s">
        <v>28</v>
      </c>
    </row>
    <row r="1104" spans="1:5" x14ac:dyDescent="0.25">
      <c r="A1104">
        <v>9013</v>
      </c>
      <c r="B1104" t="s">
        <v>35</v>
      </c>
      <c r="C1104">
        <v>2628</v>
      </c>
      <c r="D1104" s="3" t="s">
        <v>367</v>
      </c>
      <c r="E1104" t="s">
        <v>28</v>
      </c>
    </row>
    <row r="1105" spans="1:5" x14ac:dyDescent="0.25">
      <c r="A1105">
        <v>9013</v>
      </c>
      <c r="B1105" t="s">
        <v>35</v>
      </c>
      <c r="C1105">
        <v>828</v>
      </c>
      <c r="D1105" s="3" t="s">
        <v>356</v>
      </c>
      <c r="E1105" t="s">
        <v>28</v>
      </c>
    </row>
    <row r="1106" spans="1:5" x14ac:dyDescent="0.25">
      <c r="A1106">
        <v>9018</v>
      </c>
      <c r="B1106" t="s">
        <v>36</v>
      </c>
      <c r="C1106">
        <v>864</v>
      </c>
      <c r="D1106" s="3" t="s">
        <v>370</v>
      </c>
      <c r="E1106" t="s">
        <v>28</v>
      </c>
    </row>
    <row r="1107" spans="1:5" x14ac:dyDescent="0.25">
      <c r="A1107">
        <v>9019</v>
      </c>
      <c r="B1107" t="s">
        <v>37</v>
      </c>
      <c r="C1107">
        <v>36</v>
      </c>
      <c r="D1107" s="3" t="s">
        <v>363</v>
      </c>
      <c r="E1107" t="s">
        <v>28</v>
      </c>
    </row>
    <row r="1108" spans="1:5" x14ac:dyDescent="0.25">
      <c r="A1108">
        <v>9019</v>
      </c>
      <c r="B1108" t="s">
        <v>37</v>
      </c>
      <c r="C1108">
        <v>2592</v>
      </c>
      <c r="D1108" s="3" t="s">
        <v>363</v>
      </c>
      <c r="E1108" t="s">
        <v>28</v>
      </c>
    </row>
    <row r="1109" spans="1:5" x14ac:dyDescent="0.25">
      <c r="A1109">
        <v>9019</v>
      </c>
      <c r="B1109" t="s">
        <v>37</v>
      </c>
      <c r="C1109">
        <v>2304</v>
      </c>
      <c r="D1109" s="3" t="s">
        <v>364</v>
      </c>
      <c r="E1109" t="s">
        <v>28</v>
      </c>
    </row>
    <row r="1110" spans="1:5" x14ac:dyDescent="0.25">
      <c r="A1110">
        <v>9019</v>
      </c>
      <c r="B1110" t="s">
        <v>37</v>
      </c>
      <c r="C1110">
        <v>936</v>
      </c>
      <c r="D1110" s="3" t="s">
        <v>365</v>
      </c>
      <c r="E1110" t="s">
        <v>28</v>
      </c>
    </row>
    <row r="1111" spans="1:5" x14ac:dyDescent="0.25">
      <c r="A1111">
        <v>9019</v>
      </c>
      <c r="B1111" t="s">
        <v>37</v>
      </c>
      <c r="C1111">
        <v>2772</v>
      </c>
      <c r="D1111" s="3" t="s">
        <v>373</v>
      </c>
      <c r="E1111" t="s">
        <v>28</v>
      </c>
    </row>
    <row r="1112" spans="1:5" x14ac:dyDescent="0.25">
      <c r="A1112">
        <v>9019</v>
      </c>
      <c r="B1112" t="s">
        <v>37</v>
      </c>
      <c r="C1112">
        <v>1728</v>
      </c>
      <c r="D1112" s="3" t="s">
        <v>367</v>
      </c>
      <c r="E1112" t="s">
        <v>28</v>
      </c>
    </row>
    <row r="1113" spans="1:5" x14ac:dyDescent="0.25">
      <c r="A1113">
        <v>9019</v>
      </c>
      <c r="B1113" t="s">
        <v>37</v>
      </c>
      <c r="C1113">
        <v>900</v>
      </c>
      <c r="D1113" s="3" t="s">
        <v>356</v>
      </c>
      <c r="E1113" t="s">
        <v>28</v>
      </c>
    </row>
    <row r="1114" spans="1:5" x14ac:dyDescent="0.25">
      <c r="A1114">
        <v>9021</v>
      </c>
      <c r="B1114" t="s">
        <v>38</v>
      </c>
      <c r="C1114">
        <v>1944</v>
      </c>
      <c r="D1114" s="3" t="s">
        <v>364</v>
      </c>
      <c r="E1114" t="s">
        <v>28</v>
      </c>
    </row>
    <row r="1115" spans="1:5" x14ac:dyDescent="0.25">
      <c r="A1115">
        <v>9021</v>
      </c>
      <c r="B1115" t="s">
        <v>38</v>
      </c>
      <c r="C1115">
        <v>756</v>
      </c>
      <c r="D1115" s="3" t="s">
        <v>357</v>
      </c>
      <c r="E1115" t="s">
        <v>28</v>
      </c>
    </row>
    <row r="1116" spans="1:5" x14ac:dyDescent="0.25">
      <c r="A1116">
        <v>9024</v>
      </c>
      <c r="B1116" t="s">
        <v>146</v>
      </c>
      <c r="C1116">
        <v>1980</v>
      </c>
      <c r="D1116" s="3" t="s">
        <v>362</v>
      </c>
      <c r="E1116" t="s">
        <v>28</v>
      </c>
    </row>
    <row r="1117" spans="1:5" x14ac:dyDescent="0.25">
      <c r="A1117">
        <v>9025</v>
      </c>
      <c r="B1117" t="s">
        <v>40</v>
      </c>
      <c r="C1117">
        <v>1548</v>
      </c>
      <c r="D1117" s="3" t="s">
        <v>357</v>
      </c>
      <c r="E1117" t="s">
        <v>28</v>
      </c>
    </row>
    <row r="1118" spans="1:5" x14ac:dyDescent="0.25">
      <c r="A1118">
        <v>9026</v>
      </c>
      <c r="B1118" t="s">
        <v>80</v>
      </c>
      <c r="C1118">
        <v>2340</v>
      </c>
      <c r="D1118" s="3" t="s">
        <v>365</v>
      </c>
      <c r="E1118" t="s">
        <v>28</v>
      </c>
    </row>
    <row r="1119" spans="1:5" x14ac:dyDescent="0.25">
      <c r="A1119">
        <v>9029</v>
      </c>
      <c r="B1119" t="s">
        <v>41</v>
      </c>
      <c r="C1119">
        <v>576</v>
      </c>
      <c r="D1119" s="3" t="s">
        <v>369</v>
      </c>
      <c r="E1119" t="s">
        <v>28</v>
      </c>
    </row>
    <row r="1120" spans="1:5" x14ac:dyDescent="0.25">
      <c r="A1120">
        <v>9031</v>
      </c>
      <c r="B1120" t="s">
        <v>42</v>
      </c>
      <c r="C1120">
        <v>1344</v>
      </c>
      <c r="D1120" s="3" t="s">
        <v>355</v>
      </c>
      <c r="E1120" t="s">
        <v>43</v>
      </c>
    </row>
    <row r="1121" spans="1:5" x14ac:dyDescent="0.25">
      <c r="A1121">
        <v>9032</v>
      </c>
      <c r="B1121" t="s">
        <v>172</v>
      </c>
      <c r="C1121">
        <v>1920</v>
      </c>
      <c r="D1121" s="3" t="s">
        <v>360</v>
      </c>
      <c r="E1121" t="s">
        <v>43</v>
      </c>
    </row>
    <row r="1122" spans="1:5" x14ac:dyDescent="0.25">
      <c r="A1122">
        <v>9033</v>
      </c>
      <c r="B1122" t="s">
        <v>81</v>
      </c>
      <c r="C1122">
        <v>490</v>
      </c>
      <c r="D1122" s="3" t="s">
        <v>355</v>
      </c>
      <c r="E1122" t="s">
        <v>15</v>
      </c>
    </row>
    <row r="1123" spans="1:5" x14ac:dyDescent="0.25">
      <c r="A1123">
        <v>9034</v>
      </c>
      <c r="B1123" t="s">
        <v>82</v>
      </c>
      <c r="C1123">
        <v>3600</v>
      </c>
      <c r="D1123" s="3" t="s">
        <v>370</v>
      </c>
      <c r="E1123" t="s">
        <v>15</v>
      </c>
    </row>
    <row r="1124" spans="1:5" x14ac:dyDescent="0.25">
      <c r="A1124">
        <v>9034</v>
      </c>
      <c r="B1124" t="s">
        <v>82</v>
      </c>
      <c r="C1124">
        <v>10080</v>
      </c>
      <c r="D1124" s="3" t="s">
        <v>374</v>
      </c>
      <c r="E1124" t="s">
        <v>15</v>
      </c>
    </row>
    <row r="1125" spans="1:5" x14ac:dyDescent="0.25">
      <c r="A1125">
        <v>9034</v>
      </c>
      <c r="B1125" t="s">
        <v>82</v>
      </c>
      <c r="C1125">
        <v>9360</v>
      </c>
      <c r="D1125" s="3" t="s">
        <v>375</v>
      </c>
      <c r="E1125" t="s">
        <v>15</v>
      </c>
    </row>
    <row r="1126" spans="1:5" x14ac:dyDescent="0.25">
      <c r="A1126">
        <v>9041</v>
      </c>
      <c r="B1126" t="s">
        <v>272</v>
      </c>
      <c r="C1126">
        <v>272</v>
      </c>
      <c r="D1126" s="3" t="s">
        <v>358</v>
      </c>
      <c r="E1126" t="s">
        <v>174</v>
      </c>
    </row>
    <row r="1127" spans="1:5" x14ac:dyDescent="0.25">
      <c r="A1127">
        <v>9042</v>
      </c>
      <c r="B1127" t="s">
        <v>312</v>
      </c>
      <c r="C1127">
        <v>288</v>
      </c>
      <c r="D1127" s="3" t="s">
        <v>355</v>
      </c>
      <c r="E1127" t="s">
        <v>174</v>
      </c>
    </row>
    <row r="1128" spans="1:5" x14ac:dyDescent="0.25">
      <c r="A1128">
        <v>9042</v>
      </c>
      <c r="B1128" t="s">
        <v>312</v>
      </c>
      <c r="C1128">
        <v>312</v>
      </c>
      <c r="D1128" s="3" t="s">
        <v>374</v>
      </c>
      <c r="E1128" t="s">
        <v>174</v>
      </c>
    </row>
    <row r="1129" spans="1:5" x14ac:dyDescent="0.25">
      <c r="A1129">
        <v>9044</v>
      </c>
      <c r="B1129" t="s">
        <v>296</v>
      </c>
      <c r="C1129">
        <v>204</v>
      </c>
      <c r="D1129" s="3" t="s">
        <v>354</v>
      </c>
      <c r="E1129" t="s">
        <v>174</v>
      </c>
    </row>
    <row r="1130" spans="1:5" x14ac:dyDescent="0.25">
      <c r="A1130">
        <v>9044</v>
      </c>
      <c r="B1130" t="s">
        <v>296</v>
      </c>
      <c r="C1130">
        <v>400</v>
      </c>
      <c r="D1130" s="3" t="s">
        <v>368</v>
      </c>
      <c r="E1130" t="s">
        <v>174</v>
      </c>
    </row>
    <row r="1131" spans="1:5" x14ac:dyDescent="0.25">
      <c r="A1131">
        <v>9045</v>
      </c>
      <c r="B1131" t="s">
        <v>297</v>
      </c>
      <c r="C1131">
        <v>280</v>
      </c>
      <c r="D1131" s="3" t="s">
        <v>355</v>
      </c>
      <c r="E1131" t="s">
        <v>174</v>
      </c>
    </row>
    <row r="1132" spans="1:5" x14ac:dyDescent="0.25">
      <c r="A1132">
        <v>9045</v>
      </c>
      <c r="B1132" t="s">
        <v>297</v>
      </c>
      <c r="C1132">
        <v>352</v>
      </c>
      <c r="D1132" s="3" t="s">
        <v>354</v>
      </c>
      <c r="E1132" t="s">
        <v>174</v>
      </c>
    </row>
    <row r="1133" spans="1:5" x14ac:dyDescent="0.25">
      <c r="A1133">
        <v>9045</v>
      </c>
      <c r="B1133" t="s">
        <v>297</v>
      </c>
      <c r="C1133">
        <v>560</v>
      </c>
      <c r="D1133" s="3" t="s">
        <v>375</v>
      </c>
      <c r="E1133" t="s">
        <v>174</v>
      </c>
    </row>
    <row r="1134" spans="1:5" x14ac:dyDescent="0.25">
      <c r="A1134">
        <v>9053</v>
      </c>
      <c r="B1134" t="s">
        <v>44</v>
      </c>
      <c r="C1134">
        <v>320</v>
      </c>
      <c r="D1134" s="3" t="s">
        <v>362</v>
      </c>
      <c r="E1134" t="s">
        <v>45</v>
      </c>
    </row>
    <row r="1135" spans="1:5" x14ac:dyDescent="0.25">
      <c r="A1135">
        <v>9053</v>
      </c>
      <c r="B1135" t="s">
        <v>44</v>
      </c>
      <c r="C1135">
        <v>640</v>
      </c>
      <c r="D1135" s="3" t="s">
        <v>363</v>
      </c>
      <c r="E1135" t="s">
        <v>45</v>
      </c>
    </row>
    <row r="1136" spans="1:5" x14ac:dyDescent="0.25">
      <c r="A1136">
        <v>9053</v>
      </c>
      <c r="B1136" t="s">
        <v>44</v>
      </c>
      <c r="C1136">
        <v>1920</v>
      </c>
      <c r="D1136" s="3" t="s">
        <v>359</v>
      </c>
      <c r="E1136" t="s">
        <v>45</v>
      </c>
    </row>
    <row r="1137" spans="1:5" x14ac:dyDescent="0.25">
      <c r="A1137">
        <v>9053</v>
      </c>
      <c r="B1137" t="s">
        <v>44</v>
      </c>
      <c r="C1137">
        <v>1280</v>
      </c>
      <c r="D1137" s="3" t="s">
        <v>365</v>
      </c>
      <c r="E1137" t="s">
        <v>45</v>
      </c>
    </row>
    <row r="1138" spans="1:5" x14ac:dyDescent="0.25">
      <c r="A1138">
        <v>9053</v>
      </c>
      <c r="B1138" t="s">
        <v>44</v>
      </c>
      <c r="C1138">
        <v>1280</v>
      </c>
      <c r="D1138" s="3" t="s">
        <v>373</v>
      </c>
      <c r="E1138" t="s">
        <v>45</v>
      </c>
    </row>
    <row r="1139" spans="1:5" x14ac:dyDescent="0.25">
      <c r="A1139">
        <v>9053</v>
      </c>
      <c r="B1139" t="s">
        <v>44</v>
      </c>
      <c r="C1139">
        <v>2500</v>
      </c>
      <c r="D1139" s="3" t="s">
        <v>371</v>
      </c>
      <c r="E1139" t="s">
        <v>45</v>
      </c>
    </row>
    <row r="1140" spans="1:5" x14ac:dyDescent="0.25">
      <c r="A1140">
        <v>9055</v>
      </c>
      <c r="B1140" t="s">
        <v>313</v>
      </c>
      <c r="C1140">
        <v>268</v>
      </c>
      <c r="D1140" s="3" t="s">
        <v>358</v>
      </c>
      <c r="E1140" t="s">
        <v>174</v>
      </c>
    </row>
    <row r="1141" spans="1:5" x14ac:dyDescent="0.25">
      <c r="A1141">
        <v>9188</v>
      </c>
      <c r="B1141" t="s">
        <v>48</v>
      </c>
      <c r="C1141">
        <v>460</v>
      </c>
      <c r="D1141" s="3" t="s">
        <v>363</v>
      </c>
      <c r="E1141" t="s">
        <v>15</v>
      </c>
    </row>
    <row r="1142" spans="1:5" x14ac:dyDescent="0.25">
      <c r="A1142">
        <v>9188</v>
      </c>
      <c r="B1142" t="s">
        <v>48</v>
      </c>
      <c r="C1142">
        <v>3540</v>
      </c>
      <c r="D1142" s="3" t="s">
        <v>353</v>
      </c>
      <c r="E1142" t="s">
        <v>15</v>
      </c>
    </row>
    <row r="1143" spans="1:5" x14ac:dyDescent="0.25">
      <c r="A1143">
        <v>9188</v>
      </c>
      <c r="B1143" t="s">
        <v>48</v>
      </c>
      <c r="C1143">
        <v>4310</v>
      </c>
      <c r="D1143" s="3" t="s">
        <v>373</v>
      </c>
      <c r="E1143" t="s">
        <v>15</v>
      </c>
    </row>
    <row r="1144" spans="1:5" x14ac:dyDescent="0.25">
      <c r="A1144">
        <v>9201</v>
      </c>
      <c r="B1144" t="s">
        <v>50</v>
      </c>
      <c r="C1144">
        <v>1730</v>
      </c>
      <c r="D1144" s="3" t="s">
        <v>359</v>
      </c>
      <c r="E1144" t="s">
        <v>15</v>
      </c>
    </row>
    <row r="1145" spans="1:5" x14ac:dyDescent="0.25">
      <c r="A1145">
        <v>9201</v>
      </c>
      <c r="B1145" t="s">
        <v>50</v>
      </c>
      <c r="C1145">
        <v>1800</v>
      </c>
      <c r="D1145" s="3" t="s">
        <v>366</v>
      </c>
      <c r="E1145" t="s">
        <v>15</v>
      </c>
    </row>
    <row r="1146" spans="1:5" x14ac:dyDescent="0.25">
      <c r="A1146">
        <v>9201</v>
      </c>
      <c r="B1146" t="s">
        <v>50</v>
      </c>
      <c r="C1146">
        <v>1080</v>
      </c>
      <c r="D1146" s="3" t="s">
        <v>360</v>
      </c>
      <c r="E1146" t="s">
        <v>15</v>
      </c>
    </row>
    <row r="1147" spans="1:5" x14ac:dyDescent="0.25">
      <c r="A1147">
        <v>9201</v>
      </c>
      <c r="B1147" t="s">
        <v>50</v>
      </c>
      <c r="C1147">
        <v>1580</v>
      </c>
      <c r="D1147" s="3" t="s">
        <v>367</v>
      </c>
      <c r="E1147" t="s">
        <v>15</v>
      </c>
    </row>
    <row r="1148" spans="1:5" x14ac:dyDescent="0.25">
      <c r="A1148">
        <v>9211</v>
      </c>
      <c r="B1148" t="s">
        <v>51</v>
      </c>
      <c r="C1148">
        <v>1620</v>
      </c>
      <c r="D1148" s="3" t="s">
        <v>363</v>
      </c>
      <c r="E1148" t="s">
        <v>28</v>
      </c>
    </row>
    <row r="1149" spans="1:5" x14ac:dyDescent="0.25">
      <c r="A1149">
        <v>9237</v>
      </c>
      <c r="B1149" t="s">
        <v>53</v>
      </c>
      <c r="C1149">
        <v>672</v>
      </c>
      <c r="D1149" s="3" t="s">
        <v>363</v>
      </c>
      <c r="E1149" t="s">
        <v>15</v>
      </c>
    </row>
    <row r="1150" spans="1:5" x14ac:dyDescent="0.25">
      <c r="A1150">
        <v>9237</v>
      </c>
      <c r="B1150" t="s">
        <v>53</v>
      </c>
      <c r="C1150">
        <v>156</v>
      </c>
      <c r="D1150" s="3" t="s">
        <v>360</v>
      </c>
      <c r="E1150" t="s">
        <v>15</v>
      </c>
    </row>
    <row r="1151" spans="1:5" x14ac:dyDescent="0.25">
      <c r="A1151">
        <v>9237</v>
      </c>
      <c r="B1151" t="s">
        <v>53</v>
      </c>
      <c r="C1151">
        <v>576</v>
      </c>
      <c r="D1151" s="3" t="s">
        <v>361</v>
      </c>
      <c r="E1151" t="s">
        <v>15</v>
      </c>
    </row>
    <row r="1152" spans="1:5" x14ac:dyDescent="0.25">
      <c r="A1152">
        <v>9238</v>
      </c>
      <c r="B1152" t="s">
        <v>121</v>
      </c>
      <c r="C1152">
        <v>320</v>
      </c>
      <c r="D1152" s="3" t="s">
        <v>374</v>
      </c>
      <c r="E1152" t="s">
        <v>28</v>
      </c>
    </row>
    <row r="1153" spans="1:5" x14ac:dyDescent="0.25">
      <c r="A1153">
        <v>9238</v>
      </c>
      <c r="B1153" t="s">
        <v>121</v>
      </c>
      <c r="C1153">
        <v>8</v>
      </c>
      <c r="D1153" s="3" t="s">
        <v>374</v>
      </c>
      <c r="E1153" t="s">
        <v>28</v>
      </c>
    </row>
    <row r="1154" spans="1:5" x14ac:dyDescent="0.25">
      <c r="A1154">
        <v>9270</v>
      </c>
      <c r="B1154" t="s">
        <v>88</v>
      </c>
      <c r="C1154">
        <v>176</v>
      </c>
      <c r="D1154" s="3" t="s">
        <v>363</v>
      </c>
      <c r="E1154" t="s">
        <v>28</v>
      </c>
    </row>
    <row r="1155" spans="1:5" x14ac:dyDescent="0.25">
      <c r="A1155">
        <v>2283</v>
      </c>
      <c r="B1155" t="s">
        <v>152</v>
      </c>
      <c r="C1155">
        <v>560</v>
      </c>
      <c r="D1155" s="3" t="s">
        <v>376</v>
      </c>
      <c r="E1155" t="s">
        <v>7</v>
      </c>
    </row>
    <row r="1156" spans="1:5" x14ac:dyDescent="0.25">
      <c r="A1156">
        <v>2285</v>
      </c>
      <c r="B1156" t="s">
        <v>299</v>
      </c>
      <c r="C1156">
        <v>712</v>
      </c>
      <c r="D1156" s="3" t="s">
        <v>377</v>
      </c>
      <c r="E1156" t="s">
        <v>7</v>
      </c>
    </row>
    <row r="1157" spans="1:5" x14ac:dyDescent="0.25">
      <c r="A1157">
        <v>2543</v>
      </c>
      <c r="B1157" t="s">
        <v>161</v>
      </c>
      <c r="C1157">
        <v>8</v>
      </c>
      <c r="D1157" s="3" t="s">
        <v>376</v>
      </c>
      <c r="E1157" t="s">
        <v>7</v>
      </c>
    </row>
    <row r="1158" spans="1:5" x14ac:dyDescent="0.25">
      <c r="A1158">
        <v>2553</v>
      </c>
      <c r="B1158" t="s">
        <v>162</v>
      </c>
      <c r="C1158">
        <v>2100</v>
      </c>
      <c r="D1158" s="3" t="s">
        <v>378</v>
      </c>
      <c r="E1158" t="s">
        <v>7</v>
      </c>
    </row>
    <row r="1159" spans="1:5" x14ac:dyDescent="0.25">
      <c r="A1159">
        <v>2737</v>
      </c>
      <c r="B1159" t="s">
        <v>134</v>
      </c>
      <c r="C1159">
        <v>720</v>
      </c>
      <c r="D1159" s="3" t="s">
        <v>379</v>
      </c>
      <c r="E1159" t="s">
        <v>15</v>
      </c>
    </row>
    <row r="1160" spans="1:5" x14ac:dyDescent="0.25">
      <c r="A1160">
        <v>2738</v>
      </c>
      <c r="B1160" t="s">
        <v>16</v>
      </c>
      <c r="C1160">
        <v>2610</v>
      </c>
      <c r="D1160" s="3" t="s">
        <v>380</v>
      </c>
      <c r="E1160" t="s">
        <v>15</v>
      </c>
    </row>
    <row r="1161" spans="1:5" x14ac:dyDescent="0.25">
      <c r="A1161">
        <v>2738</v>
      </c>
      <c r="B1161" t="s">
        <v>16</v>
      </c>
      <c r="C1161">
        <v>3600</v>
      </c>
      <c r="D1161" s="3" t="s">
        <v>378</v>
      </c>
      <c r="E1161" t="s">
        <v>15</v>
      </c>
    </row>
    <row r="1162" spans="1:5" x14ac:dyDescent="0.25">
      <c r="A1162">
        <v>2738</v>
      </c>
      <c r="B1162" t="s">
        <v>16</v>
      </c>
      <c r="C1162">
        <v>720</v>
      </c>
      <c r="D1162" s="3" t="s">
        <v>377</v>
      </c>
      <c r="E1162" t="s">
        <v>15</v>
      </c>
    </row>
    <row r="1163" spans="1:5" x14ac:dyDescent="0.25">
      <c r="A1163">
        <v>2738</v>
      </c>
      <c r="B1163" t="s">
        <v>16</v>
      </c>
      <c r="C1163">
        <v>720</v>
      </c>
      <c r="D1163" s="3" t="s">
        <v>381</v>
      </c>
      <c r="E1163" t="s">
        <v>15</v>
      </c>
    </row>
    <row r="1164" spans="1:5" x14ac:dyDescent="0.25">
      <c r="A1164">
        <v>2738</v>
      </c>
      <c r="B1164" t="s">
        <v>16</v>
      </c>
      <c r="C1164">
        <v>7200</v>
      </c>
      <c r="D1164" s="3" t="s">
        <v>382</v>
      </c>
      <c r="E1164" t="s">
        <v>15</v>
      </c>
    </row>
    <row r="1165" spans="1:5" x14ac:dyDescent="0.25">
      <c r="A1165">
        <v>2738</v>
      </c>
      <c r="B1165" t="s">
        <v>16</v>
      </c>
      <c r="C1165">
        <v>5760</v>
      </c>
      <c r="D1165" s="3" t="s">
        <v>383</v>
      </c>
      <c r="E1165" t="s">
        <v>15</v>
      </c>
    </row>
    <row r="1166" spans="1:5" x14ac:dyDescent="0.25">
      <c r="A1166">
        <v>2738</v>
      </c>
      <c r="B1166" t="s">
        <v>16</v>
      </c>
      <c r="C1166">
        <v>1440</v>
      </c>
      <c r="D1166" s="3" t="s">
        <v>384</v>
      </c>
      <c r="E1166" t="s">
        <v>15</v>
      </c>
    </row>
    <row r="1167" spans="1:5" x14ac:dyDescent="0.25">
      <c r="A1167">
        <v>2738</v>
      </c>
      <c r="B1167" t="s">
        <v>16</v>
      </c>
      <c r="C1167">
        <v>6480</v>
      </c>
      <c r="D1167" s="3" t="s">
        <v>385</v>
      </c>
      <c r="E1167" t="s">
        <v>15</v>
      </c>
    </row>
    <row r="1168" spans="1:5" x14ac:dyDescent="0.25">
      <c r="A1168">
        <v>2738</v>
      </c>
      <c r="B1168" t="s">
        <v>16</v>
      </c>
      <c r="C1168">
        <v>6480</v>
      </c>
      <c r="D1168" s="3" t="s">
        <v>386</v>
      </c>
      <c r="E1168" t="s">
        <v>15</v>
      </c>
    </row>
    <row r="1169" spans="1:5" x14ac:dyDescent="0.25">
      <c r="A1169">
        <v>2738</v>
      </c>
      <c r="B1169" t="s">
        <v>16</v>
      </c>
      <c r="C1169">
        <v>2160</v>
      </c>
      <c r="D1169" s="3" t="s">
        <v>387</v>
      </c>
      <c r="E1169" t="s">
        <v>15</v>
      </c>
    </row>
    <row r="1170" spans="1:5" x14ac:dyDescent="0.25">
      <c r="A1170">
        <v>2738</v>
      </c>
      <c r="B1170" t="s">
        <v>16</v>
      </c>
      <c r="C1170">
        <v>720</v>
      </c>
      <c r="D1170" s="3" t="s">
        <v>376</v>
      </c>
      <c r="E1170" t="s">
        <v>15</v>
      </c>
    </row>
    <row r="1171" spans="1:5" x14ac:dyDescent="0.25">
      <c r="A1171">
        <v>2738</v>
      </c>
      <c r="B1171" t="s">
        <v>16</v>
      </c>
      <c r="C1171">
        <v>3600</v>
      </c>
      <c r="D1171" s="3" t="s">
        <v>388</v>
      </c>
      <c r="E1171" t="s">
        <v>15</v>
      </c>
    </row>
    <row r="1172" spans="1:5" x14ac:dyDescent="0.25">
      <c r="A1172">
        <v>2738</v>
      </c>
      <c r="B1172" t="s">
        <v>16</v>
      </c>
      <c r="C1172">
        <v>7200</v>
      </c>
      <c r="D1172" s="3" t="s">
        <v>389</v>
      </c>
      <c r="E1172" t="s">
        <v>15</v>
      </c>
    </row>
    <row r="1173" spans="1:5" x14ac:dyDescent="0.25">
      <c r="A1173">
        <v>2738</v>
      </c>
      <c r="B1173" t="s">
        <v>16</v>
      </c>
      <c r="C1173">
        <v>3600</v>
      </c>
      <c r="D1173" s="3" t="s">
        <v>390</v>
      </c>
      <c r="E1173" t="s">
        <v>15</v>
      </c>
    </row>
    <row r="1174" spans="1:5" x14ac:dyDescent="0.25">
      <c r="A1174">
        <v>2738</v>
      </c>
      <c r="B1174" t="s">
        <v>16</v>
      </c>
      <c r="C1174">
        <v>6480</v>
      </c>
      <c r="D1174" s="3" t="s">
        <v>379</v>
      </c>
      <c r="E1174" t="s">
        <v>15</v>
      </c>
    </row>
    <row r="1175" spans="1:5" x14ac:dyDescent="0.25">
      <c r="A1175">
        <v>2738</v>
      </c>
      <c r="B1175" t="s">
        <v>16</v>
      </c>
      <c r="C1175">
        <v>6480</v>
      </c>
      <c r="D1175" s="3" t="s">
        <v>391</v>
      </c>
      <c r="E1175" t="s">
        <v>15</v>
      </c>
    </row>
    <row r="1176" spans="1:5" x14ac:dyDescent="0.25">
      <c r="A1176">
        <v>2738</v>
      </c>
      <c r="B1176" t="s">
        <v>16</v>
      </c>
      <c r="C1176">
        <v>3195</v>
      </c>
      <c r="D1176" s="3" t="s">
        <v>392</v>
      </c>
      <c r="E1176" t="s">
        <v>15</v>
      </c>
    </row>
    <row r="1177" spans="1:5" x14ac:dyDescent="0.25">
      <c r="A1177">
        <v>2738</v>
      </c>
      <c r="B1177" t="s">
        <v>16</v>
      </c>
      <c r="C1177">
        <v>4005</v>
      </c>
      <c r="D1177" s="3" t="s">
        <v>393</v>
      </c>
      <c r="E1177" t="s">
        <v>15</v>
      </c>
    </row>
    <row r="1178" spans="1:5" x14ac:dyDescent="0.25">
      <c r="A1178">
        <v>2738</v>
      </c>
      <c r="B1178" t="s">
        <v>16</v>
      </c>
      <c r="C1178">
        <v>5040</v>
      </c>
      <c r="D1178" s="3" t="s">
        <v>394</v>
      </c>
      <c r="E1178" t="s">
        <v>15</v>
      </c>
    </row>
    <row r="1179" spans="1:5" x14ac:dyDescent="0.25">
      <c r="A1179">
        <v>4808</v>
      </c>
      <c r="B1179" t="s">
        <v>241</v>
      </c>
      <c r="C1179">
        <v>3384</v>
      </c>
      <c r="D1179" s="3" t="s">
        <v>377</v>
      </c>
      <c r="E1179" t="s">
        <v>25</v>
      </c>
    </row>
    <row r="1180" spans="1:5" x14ac:dyDescent="0.25">
      <c r="A1180">
        <v>4808</v>
      </c>
      <c r="B1180" t="s">
        <v>241</v>
      </c>
      <c r="C1180">
        <v>792</v>
      </c>
      <c r="D1180" s="3" t="s">
        <v>384</v>
      </c>
      <c r="E1180" t="s">
        <v>25</v>
      </c>
    </row>
    <row r="1181" spans="1:5" x14ac:dyDescent="0.25">
      <c r="A1181">
        <v>4808</v>
      </c>
      <c r="B1181" t="s">
        <v>241</v>
      </c>
      <c r="C1181">
        <v>384</v>
      </c>
      <c r="D1181" s="3" t="s">
        <v>376</v>
      </c>
      <c r="E1181" t="s">
        <v>25</v>
      </c>
    </row>
    <row r="1182" spans="1:5" x14ac:dyDescent="0.25">
      <c r="A1182">
        <v>4855</v>
      </c>
      <c r="B1182" t="s">
        <v>242</v>
      </c>
      <c r="C1182">
        <v>3176</v>
      </c>
      <c r="D1182" s="3" t="s">
        <v>377</v>
      </c>
      <c r="E1182" t="s">
        <v>25</v>
      </c>
    </row>
    <row r="1183" spans="1:5" x14ac:dyDescent="0.25">
      <c r="A1183">
        <v>4855</v>
      </c>
      <c r="B1183" t="s">
        <v>242</v>
      </c>
      <c r="C1183">
        <v>1168</v>
      </c>
      <c r="D1183" s="3" t="s">
        <v>384</v>
      </c>
      <c r="E1183" t="s">
        <v>25</v>
      </c>
    </row>
    <row r="1184" spans="1:5" x14ac:dyDescent="0.25">
      <c r="A1184">
        <v>4855</v>
      </c>
      <c r="B1184" t="s">
        <v>242</v>
      </c>
      <c r="C1184">
        <v>4176</v>
      </c>
      <c r="D1184" s="3" t="s">
        <v>376</v>
      </c>
      <c r="E1184" t="s">
        <v>25</v>
      </c>
    </row>
    <row r="1185" spans="1:5" x14ac:dyDescent="0.25">
      <c r="A1185">
        <v>4906</v>
      </c>
      <c r="B1185" t="s">
        <v>372</v>
      </c>
      <c r="C1185">
        <v>3180</v>
      </c>
      <c r="D1185" s="3" t="s">
        <v>383</v>
      </c>
      <c r="E1185" t="s">
        <v>25</v>
      </c>
    </row>
    <row r="1186" spans="1:5" x14ac:dyDescent="0.25">
      <c r="A1186">
        <v>4906</v>
      </c>
      <c r="B1186" t="s">
        <v>372</v>
      </c>
      <c r="C1186">
        <v>1050</v>
      </c>
      <c r="D1186" s="3" t="s">
        <v>384</v>
      </c>
      <c r="E1186" t="s">
        <v>25</v>
      </c>
    </row>
    <row r="1187" spans="1:5" x14ac:dyDescent="0.25">
      <c r="A1187">
        <v>4906</v>
      </c>
      <c r="B1187" t="s">
        <v>372</v>
      </c>
      <c r="C1187">
        <v>648</v>
      </c>
      <c r="D1187" s="3" t="s">
        <v>384</v>
      </c>
      <c r="E1187" t="s">
        <v>25</v>
      </c>
    </row>
    <row r="1188" spans="1:5" x14ac:dyDescent="0.25">
      <c r="A1188">
        <v>4906</v>
      </c>
      <c r="B1188" t="s">
        <v>372</v>
      </c>
      <c r="C1188">
        <v>6300</v>
      </c>
      <c r="D1188" s="3" t="s">
        <v>386</v>
      </c>
      <c r="E1188" t="s">
        <v>25</v>
      </c>
    </row>
    <row r="1189" spans="1:5" x14ac:dyDescent="0.25">
      <c r="A1189">
        <v>4961</v>
      </c>
      <c r="B1189" t="s">
        <v>144</v>
      </c>
      <c r="C1189">
        <v>560</v>
      </c>
      <c r="D1189" s="3" t="s">
        <v>380</v>
      </c>
      <c r="E1189" t="s">
        <v>25</v>
      </c>
    </row>
    <row r="1190" spans="1:5" x14ac:dyDescent="0.25">
      <c r="A1190">
        <v>9001</v>
      </c>
      <c r="B1190" t="s">
        <v>29</v>
      </c>
      <c r="C1190">
        <v>5328</v>
      </c>
      <c r="D1190" s="3" t="s">
        <v>381</v>
      </c>
      <c r="E1190" t="s">
        <v>28</v>
      </c>
    </row>
    <row r="1191" spans="1:5" x14ac:dyDescent="0.25">
      <c r="A1191">
        <v>9001</v>
      </c>
      <c r="B1191" t="s">
        <v>29</v>
      </c>
      <c r="C1191">
        <v>6372</v>
      </c>
      <c r="D1191" s="3" t="s">
        <v>384</v>
      </c>
      <c r="E1191" t="s">
        <v>28</v>
      </c>
    </row>
    <row r="1192" spans="1:5" x14ac:dyDescent="0.25">
      <c r="A1192">
        <v>9001</v>
      </c>
      <c r="B1192" t="s">
        <v>29</v>
      </c>
      <c r="C1192">
        <v>4176</v>
      </c>
      <c r="D1192" s="3" t="s">
        <v>395</v>
      </c>
      <c r="E1192" t="s">
        <v>28</v>
      </c>
    </row>
    <row r="1193" spans="1:5" x14ac:dyDescent="0.25">
      <c r="A1193">
        <v>9001</v>
      </c>
      <c r="B1193" t="s">
        <v>29</v>
      </c>
      <c r="C1193">
        <v>3132</v>
      </c>
      <c r="D1193" s="3" t="s">
        <v>396</v>
      </c>
      <c r="E1193" t="s">
        <v>28</v>
      </c>
    </row>
    <row r="1194" spans="1:5" x14ac:dyDescent="0.25">
      <c r="A1194">
        <v>9001</v>
      </c>
      <c r="B1194" t="s">
        <v>29</v>
      </c>
      <c r="C1194">
        <v>3816</v>
      </c>
      <c r="D1194" s="3" t="s">
        <v>385</v>
      </c>
      <c r="E1194" t="s">
        <v>28</v>
      </c>
    </row>
    <row r="1195" spans="1:5" x14ac:dyDescent="0.25">
      <c r="A1195">
        <v>9001</v>
      </c>
      <c r="B1195" t="s">
        <v>29</v>
      </c>
      <c r="C1195">
        <v>6444</v>
      </c>
      <c r="D1195" s="3" t="s">
        <v>388</v>
      </c>
      <c r="E1195" t="s">
        <v>28</v>
      </c>
    </row>
    <row r="1196" spans="1:5" x14ac:dyDescent="0.25">
      <c r="A1196">
        <v>9001</v>
      </c>
      <c r="B1196" t="s">
        <v>29</v>
      </c>
      <c r="C1196">
        <v>4932</v>
      </c>
      <c r="D1196" s="3" t="s">
        <v>389</v>
      </c>
      <c r="E1196" t="s">
        <v>28</v>
      </c>
    </row>
    <row r="1197" spans="1:5" x14ac:dyDescent="0.25">
      <c r="A1197">
        <v>9001</v>
      </c>
      <c r="B1197" t="s">
        <v>29</v>
      </c>
      <c r="C1197">
        <v>6660</v>
      </c>
      <c r="D1197" s="3" t="s">
        <v>397</v>
      </c>
      <c r="E1197" t="s">
        <v>28</v>
      </c>
    </row>
    <row r="1198" spans="1:5" x14ac:dyDescent="0.25">
      <c r="A1198">
        <v>9001</v>
      </c>
      <c r="B1198" t="s">
        <v>29</v>
      </c>
      <c r="C1198">
        <v>3960</v>
      </c>
      <c r="D1198" s="3" t="s">
        <v>379</v>
      </c>
      <c r="E1198" t="s">
        <v>28</v>
      </c>
    </row>
    <row r="1199" spans="1:5" x14ac:dyDescent="0.25">
      <c r="A1199">
        <v>9001</v>
      </c>
      <c r="B1199" t="s">
        <v>29</v>
      </c>
      <c r="C1199">
        <v>4608</v>
      </c>
      <c r="D1199" s="3" t="s">
        <v>391</v>
      </c>
      <c r="E1199" t="s">
        <v>28</v>
      </c>
    </row>
    <row r="1200" spans="1:5" x14ac:dyDescent="0.25">
      <c r="A1200">
        <v>9003</v>
      </c>
      <c r="B1200" t="s">
        <v>32</v>
      </c>
      <c r="C1200">
        <v>2880</v>
      </c>
      <c r="D1200" s="3" t="s">
        <v>381</v>
      </c>
      <c r="E1200" t="s">
        <v>28</v>
      </c>
    </row>
    <row r="1201" spans="1:5" x14ac:dyDescent="0.25">
      <c r="A1201">
        <v>9003</v>
      </c>
      <c r="B1201" t="s">
        <v>32</v>
      </c>
      <c r="C1201">
        <v>1080</v>
      </c>
      <c r="D1201" s="3" t="s">
        <v>384</v>
      </c>
      <c r="E1201" t="s">
        <v>28</v>
      </c>
    </row>
    <row r="1202" spans="1:5" x14ac:dyDescent="0.25">
      <c r="A1202">
        <v>9003</v>
      </c>
      <c r="B1202" t="s">
        <v>32</v>
      </c>
      <c r="C1202">
        <v>5040</v>
      </c>
      <c r="D1202" s="3" t="s">
        <v>395</v>
      </c>
      <c r="E1202" t="s">
        <v>28</v>
      </c>
    </row>
    <row r="1203" spans="1:5" x14ac:dyDescent="0.25">
      <c r="A1203">
        <v>9003</v>
      </c>
      <c r="B1203" t="s">
        <v>32</v>
      </c>
      <c r="C1203">
        <v>4068</v>
      </c>
      <c r="D1203" s="3" t="s">
        <v>396</v>
      </c>
      <c r="E1203" t="s">
        <v>28</v>
      </c>
    </row>
    <row r="1204" spans="1:5" x14ac:dyDescent="0.25">
      <c r="A1204">
        <v>9003</v>
      </c>
      <c r="B1204" t="s">
        <v>32</v>
      </c>
      <c r="C1204">
        <v>3024</v>
      </c>
      <c r="D1204" s="3" t="s">
        <v>385</v>
      </c>
      <c r="E1204" t="s">
        <v>28</v>
      </c>
    </row>
    <row r="1205" spans="1:5" x14ac:dyDescent="0.25">
      <c r="A1205">
        <v>9003</v>
      </c>
      <c r="B1205" t="s">
        <v>32</v>
      </c>
      <c r="C1205">
        <v>3564</v>
      </c>
      <c r="D1205" s="3" t="s">
        <v>388</v>
      </c>
      <c r="E1205" t="s">
        <v>28</v>
      </c>
    </row>
    <row r="1206" spans="1:5" x14ac:dyDescent="0.25">
      <c r="A1206">
        <v>9003</v>
      </c>
      <c r="B1206" t="s">
        <v>32</v>
      </c>
      <c r="C1206">
        <v>756</v>
      </c>
      <c r="D1206" s="3" t="s">
        <v>389</v>
      </c>
      <c r="E1206" t="s">
        <v>28</v>
      </c>
    </row>
    <row r="1207" spans="1:5" x14ac:dyDescent="0.25">
      <c r="A1207">
        <v>9003</v>
      </c>
      <c r="B1207" t="s">
        <v>32</v>
      </c>
      <c r="C1207">
        <v>1908</v>
      </c>
      <c r="D1207" s="3" t="s">
        <v>397</v>
      </c>
      <c r="E1207" t="s">
        <v>28</v>
      </c>
    </row>
    <row r="1208" spans="1:5" x14ac:dyDescent="0.25">
      <c r="A1208">
        <v>9003</v>
      </c>
      <c r="B1208" t="s">
        <v>32</v>
      </c>
      <c r="C1208">
        <v>4896</v>
      </c>
      <c r="D1208" s="3" t="s">
        <v>379</v>
      </c>
      <c r="E1208" t="s">
        <v>28</v>
      </c>
    </row>
    <row r="1209" spans="1:5" x14ac:dyDescent="0.25">
      <c r="A1209">
        <v>9003</v>
      </c>
      <c r="B1209" t="s">
        <v>32</v>
      </c>
      <c r="C1209">
        <v>4716</v>
      </c>
      <c r="D1209" s="3" t="s">
        <v>391</v>
      </c>
      <c r="E1209" t="s">
        <v>28</v>
      </c>
    </row>
    <row r="1210" spans="1:5" x14ac:dyDescent="0.25">
      <c r="A1210">
        <v>9003</v>
      </c>
      <c r="B1210" t="s">
        <v>32</v>
      </c>
      <c r="C1210">
        <v>3240</v>
      </c>
      <c r="D1210" s="3" t="s">
        <v>392</v>
      </c>
      <c r="E1210" t="s">
        <v>28</v>
      </c>
    </row>
    <row r="1211" spans="1:5" x14ac:dyDescent="0.25">
      <c r="A1211">
        <v>9004</v>
      </c>
      <c r="B1211" t="s">
        <v>33</v>
      </c>
      <c r="C1211">
        <v>360</v>
      </c>
      <c r="D1211" s="3" t="s">
        <v>381</v>
      </c>
      <c r="E1211" t="s">
        <v>28</v>
      </c>
    </row>
    <row r="1212" spans="1:5" x14ac:dyDescent="0.25">
      <c r="A1212">
        <v>9004</v>
      </c>
      <c r="B1212" t="s">
        <v>33</v>
      </c>
      <c r="C1212">
        <v>1296</v>
      </c>
      <c r="D1212" s="3" t="s">
        <v>395</v>
      </c>
      <c r="E1212" t="s">
        <v>28</v>
      </c>
    </row>
    <row r="1213" spans="1:5" x14ac:dyDescent="0.25">
      <c r="A1213">
        <v>9004</v>
      </c>
      <c r="B1213" t="s">
        <v>33</v>
      </c>
      <c r="C1213">
        <v>2304</v>
      </c>
      <c r="D1213" s="3" t="s">
        <v>385</v>
      </c>
      <c r="E1213" t="s">
        <v>28</v>
      </c>
    </row>
    <row r="1214" spans="1:5" x14ac:dyDescent="0.25">
      <c r="A1214">
        <v>9004</v>
      </c>
      <c r="B1214" t="s">
        <v>33</v>
      </c>
      <c r="C1214">
        <v>612</v>
      </c>
      <c r="D1214" s="3" t="s">
        <v>389</v>
      </c>
      <c r="E1214" t="s">
        <v>28</v>
      </c>
    </row>
    <row r="1215" spans="1:5" x14ac:dyDescent="0.25">
      <c r="A1215">
        <v>9004</v>
      </c>
      <c r="B1215" t="s">
        <v>33</v>
      </c>
      <c r="C1215">
        <v>2808</v>
      </c>
      <c r="D1215" s="3" t="s">
        <v>391</v>
      </c>
      <c r="E1215" t="s">
        <v>28</v>
      </c>
    </row>
    <row r="1216" spans="1:5" x14ac:dyDescent="0.25">
      <c r="A1216">
        <v>9005</v>
      </c>
      <c r="B1216" t="s">
        <v>34</v>
      </c>
      <c r="C1216">
        <v>1296</v>
      </c>
      <c r="D1216" s="3" t="s">
        <v>381</v>
      </c>
      <c r="E1216" t="s">
        <v>28</v>
      </c>
    </row>
    <row r="1217" spans="1:5" x14ac:dyDescent="0.25">
      <c r="A1217">
        <v>9005</v>
      </c>
      <c r="B1217" t="s">
        <v>34</v>
      </c>
      <c r="C1217">
        <v>864</v>
      </c>
      <c r="D1217" s="3" t="s">
        <v>395</v>
      </c>
      <c r="E1217" t="s">
        <v>28</v>
      </c>
    </row>
    <row r="1218" spans="1:5" x14ac:dyDescent="0.25">
      <c r="A1218">
        <v>9007</v>
      </c>
      <c r="B1218" t="s">
        <v>230</v>
      </c>
      <c r="C1218">
        <v>648</v>
      </c>
      <c r="D1218" s="3" t="s">
        <v>396</v>
      </c>
      <c r="E1218" t="s">
        <v>28</v>
      </c>
    </row>
    <row r="1219" spans="1:5" x14ac:dyDescent="0.25">
      <c r="A1219">
        <v>9009</v>
      </c>
      <c r="B1219" t="s">
        <v>77</v>
      </c>
      <c r="C1219">
        <v>640</v>
      </c>
      <c r="D1219" s="3" t="s">
        <v>381</v>
      </c>
      <c r="E1219" t="s">
        <v>28</v>
      </c>
    </row>
    <row r="1220" spans="1:5" x14ac:dyDescent="0.25">
      <c r="A1220">
        <v>9009</v>
      </c>
      <c r="B1220" t="s">
        <v>77</v>
      </c>
      <c r="C1220">
        <v>1008</v>
      </c>
      <c r="D1220" s="3" t="s">
        <v>392</v>
      </c>
      <c r="E1220" t="s">
        <v>28</v>
      </c>
    </row>
    <row r="1221" spans="1:5" x14ac:dyDescent="0.25">
      <c r="A1221">
        <v>9011</v>
      </c>
      <c r="B1221" t="s">
        <v>78</v>
      </c>
      <c r="C1221">
        <v>1116</v>
      </c>
      <c r="D1221" s="3" t="s">
        <v>396</v>
      </c>
      <c r="E1221" t="s">
        <v>28</v>
      </c>
    </row>
    <row r="1222" spans="1:5" x14ac:dyDescent="0.25">
      <c r="A1222">
        <v>9011</v>
      </c>
      <c r="B1222" t="s">
        <v>78</v>
      </c>
      <c r="C1222">
        <v>2160</v>
      </c>
      <c r="D1222" s="3" t="s">
        <v>397</v>
      </c>
      <c r="E1222" t="s">
        <v>28</v>
      </c>
    </row>
    <row r="1223" spans="1:5" x14ac:dyDescent="0.25">
      <c r="A1223">
        <v>9011</v>
      </c>
      <c r="B1223" t="s">
        <v>78</v>
      </c>
      <c r="C1223">
        <v>2916</v>
      </c>
      <c r="D1223" s="3" t="s">
        <v>392</v>
      </c>
      <c r="E1223" t="s">
        <v>28</v>
      </c>
    </row>
    <row r="1224" spans="1:5" x14ac:dyDescent="0.25">
      <c r="A1224">
        <v>9013</v>
      </c>
      <c r="B1224" t="s">
        <v>35</v>
      </c>
      <c r="C1224">
        <v>288</v>
      </c>
      <c r="D1224" s="3" t="s">
        <v>381</v>
      </c>
      <c r="E1224" t="s">
        <v>28</v>
      </c>
    </row>
    <row r="1225" spans="1:5" x14ac:dyDescent="0.25">
      <c r="A1225">
        <v>9013</v>
      </c>
      <c r="B1225" t="s">
        <v>35</v>
      </c>
      <c r="C1225">
        <v>828</v>
      </c>
      <c r="D1225" s="3" t="s">
        <v>396</v>
      </c>
      <c r="E1225" t="s">
        <v>28</v>
      </c>
    </row>
    <row r="1226" spans="1:5" x14ac:dyDescent="0.25">
      <c r="A1226">
        <v>9018</v>
      </c>
      <c r="B1226" t="s">
        <v>36</v>
      </c>
      <c r="C1226">
        <v>864</v>
      </c>
      <c r="D1226" s="3" t="s">
        <v>388</v>
      </c>
      <c r="E1226" t="s">
        <v>28</v>
      </c>
    </row>
    <row r="1227" spans="1:5" x14ac:dyDescent="0.25">
      <c r="A1227">
        <v>9019</v>
      </c>
      <c r="B1227" t="s">
        <v>37</v>
      </c>
      <c r="C1227">
        <v>1908</v>
      </c>
      <c r="D1227" s="3" t="s">
        <v>384</v>
      </c>
      <c r="E1227" t="s">
        <v>28</v>
      </c>
    </row>
    <row r="1228" spans="1:5" x14ac:dyDescent="0.25">
      <c r="A1228">
        <v>9019</v>
      </c>
      <c r="B1228" t="s">
        <v>37</v>
      </c>
      <c r="C1228">
        <v>1188</v>
      </c>
      <c r="D1228" s="3" t="s">
        <v>395</v>
      </c>
      <c r="E1228" t="s">
        <v>28</v>
      </c>
    </row>
    <row r="1229" spans="1:5" x14ac:dyDescent="0.25">
      <c r="A1229">
        <v>9019</v>
      </c>
      <c r="B1229" t="s">
        <v>37</v>
      </c>
      <c r="C1229">
        <v>2304</v>
      </c>
      <c r="D1229" s="3" t="s">
        <v>385</v>
      </c>
      <c r="E1229" t="s">
        <v>28</v>
      </c>
    </row>
    <row r="1230" spans="1:5" x14ac:dyDescent="0.25">
      <c r="A1230">
        <v>9019</v>
      </c>
      <c r="B1230" t="s">
        <v>37</v>
      </c>
      <c r="C1230">
        <v>144</v>
      </c>
      <c r="D1230" s="3" t="s">
        <v>385</v>
      </c>
      <c r="E1230" t="s">
        <v>28</v>
      </c>
    </row>
    <row r="1231" spans="1:5" x14ac:dyDescent="0.25">
      <c r="A1231">
        <v>9019</v>
      </c>
      <c r="B1231" t="s">
        <v>37</v>
      </c>
      <c r="C1231">
        <v>2844</v>
      </c>
      <c r="D1231" s="3" t="s">
        <v>389</v>
      </c>
      <c r="E1231" t="s">
        <v>28</v>
      </c>
    </row>
    <row r="1232" spans="1:5" x14ac:dyDescent="0.25">
      <c r="A1232">
        <v>9019</v>
      </c>
      <c r="B1232" t="s">
        <v>37</v>
      </c>
      <c r="C1232">
        <v>2628</v>
      </c>
      <c r="D1232" s="3" t="s">
        <v>397</v>
      </c>
      <c r="E1232" t="s">
        <v>28</v>
      </c>
    </row>
    <row r="1233" spans="1:5" x14ac:dyDescent="0.25">
      <c r="A1233">
        <v>9019</v>
      </c>
      <c r="B1233" t="s">
        <v>37</v>
      </c>
      <c r="C1233">
        <v>4608</v>
      </c>
      <c r="D1233" s="3" t="s">
        <v>379</v>
      </c>
      <c r="E1233" t="s">
        <v>28</v>
      </c>
    </row>
    <row r="1234" spans="1:5" x14ac:dyDescent="0.25">
      <c r="A1234">
        <v>9019</v>
      </c>
      <c r="B1234" t="s">
        <v>37</v>
      </c>
      <c r="C1234">
        <v>1800</v>
      </c>
      <c r="D1234" s="3" t="s">
        <v>392</v>
      </c>
      <c r="E1234" t="s">
        <v>28</v>
      </c>
    </row>
    <row r="1235" spans="1:5" x14ac:dyDescent="0.25">
      <c r="A1235">
        <v>9021</v>
      </c>
      <c r="B1235" t="s">
        <v>38</v>
      </c>
      <c r="C1235">
        <v>864</v>
      </c>
      <c r="D1235" s="3" t="s">
        <v>396</v>
      </c>
      <c r="E1235" t="s">
        <v>28</v>
      </c>
    </row>
    <row r="1236" spans="1:5" x14ac:dyDescent="0.25">
      <c r="A1236">
        <v>9023</v>
      </c>
      <c r="B1236" t="s">
        <v>39</v>
      </c>
      <c r="C1236">
        <v>2856</v>
      </c>
      <c r="D1236" s="3" t="s">
        <v>392</v>
      </c>
      <c r="E1236" t="s">
        <v>28</v>
      </c>
    </row>
    <row r="1237" spans="1:5" x14ac:dyDescent="0.25">
      <c r="A1237">
        <v>9026</v>
      </c>
      <c r="B1237" t="s">
        <v>80</v>
      </c>
      <c r="C1237">
        <v>2304</v>
      </c>
      <c r="D1237" s="3" t="s">
        <v>396</v>
      </c>
      <c r="E1237" t="s">
        <v>28</v>
      </c>
    </row>
    <row r="1238" spans="1:5" x14ac:dyDescent="0.25">
      <c r="A1238">
        <v>9029</v>
      </c>
      <c r="B1238" t="s">
        <v>41</v>
      </c>
      <c r="C1238">
        <v>1764</v>
      </c>
      <c r="D1238" s="3" t="s">
        <v>384</v>
      </c>
      <c r="E1238" t="s">
        <v>28</v>
      </c>
    </row>
    <row r="1239" spans="1:5" x14ac:dyDescent="0.25">
      <c r="A1239">
        <v>9029</v>
      </c>
      <c r="B1239" t="s">
        <v>41</v>
      </c>
      <c r="C1239">
        <v>2196</v>
      </c>
      <c r="D1239" s="3" t="s">
        <v>389</v>
      </c>
      <c r="E1239" t="s">
        <v>28</v>
      </c>
    </row>
    <row r="1240" spans="1:5" x14ac:dyDescent="0.25">
      <c r="A1240">
        <v>9031</v>
      </c>
      <c r="B1240" t="s">
        <v>42</v>
      </c>
      <c r="C1240">
        <v>4032</v>
      </c>
      <c r="D1240" s="3" t="s">
        <v>386</v>
      </c>
      <c r="E1240" t="s">
        <v>43</v>
      </c>
    </row>
    <row r="1241" spans="1:5" x14ac:dyDescent="0.25">
      <c r="A1241">
        <v>9031</v>
      </c>
      <c r="B1241" t="s">
        <v>42</v>
      </c>
      <c r="C1241">
        <v>3456</v>
      </c>
      <c r="D1241" s="3" t="s">
        <v>393</v>
      </c>
      <c r="E1241" t="s">
        <v>43</v>
      </c>
    </row>
    <row r="1242" spans="1:5" x14ac:dyDescent="0.25">
      <c r="A1242">
        <v>9033</v>
      </c>
      <c r="B1242" t="s">
        <v>81</v>
      </c>
      <c r="C1242">
        <v>590</v>
      </c>
      <c r="D1242" s="3" t="s">
        <v>397</v>
      </c>
      <c r="E1242" t="s">
        <v>15</v>
      </c>
    </row>
    <row r="1243" spans="1:5" x14ac:dyDescent="0.25">
      <c r="A1243">
        <v>9034</v>
      </c>
      <c r="B1243" t="s">
        <v>82</v>
      </c>
      <c r="C1243">
        <v>720</v>
      </c>
      <c r="D1243" s="3" t="s">
        <v>378</v>
      </c>
      <c r="E1243" t="s">
        <v>15</v>
      </c>
    </row>
    <row r="1244" spans="1:5" x14ac:dyDescent="0.25">
      <c r="A1244">
        <v>9036</v>
      </c>
      <c r="B1244" t="s">
        <v>120</v>
      </c>
      <c r="C1244">
        <v>768</v>
      </c>
      <c r="D1244" s="3" t="s">
        <v>391</v>
      </c>
      <c r="E1244" t="s">
        <v>15</v>
      </c>
    </row>
    <row r="1245" spans="1:5" x14ac:dyDescent="0.25">
      <c r="A1245">
        <v>9041</v>
      </c>
      <c r="B1245" t="s">
        <v>272</v>
      </c>
      <c r="C1245">
        <v>268</v>
      </c>
      <c r="D1245" s="3" t="s">
        <v>387</v>
      </c>
      <c r="E1245" t="s">
        <v>174</v>
      </c>
    </row>
    <row r="1246" spans="1:5" x14ac:dyDescent="0.25">
      <c r="A1246">
        <v>9042</v>
      </c>
      <c r="B1246" t="s">
        <v>312</v>
      </c>
      <c r="C1246">
        <v>140</v>
      </c>
      <c r="D1246" s="3" t="s">
        <v>378</v>
      </c>
      <c r="E1246" t="s">
        <v>174</v>
      </c>
    </row>
    <row r="1247" spans="1:5" x14ac:dyDescent="0.25">
      <c r="A1247">
        <v>9042</v>
      </c>
      <c r="B1247" t="s">
        <v>312</v>
      </c>
      <c r="C1247">
        <v>260</v>
      </c>
      <c r="D1247" s="3" t="s">
        <v>398</v>
      </c>
      <c r="E1247" t="s">
        <v>174</v>
      </c>
    </row>
    <row r="1248" spans="1:5" x14ac:dyDescent="0.25">
      <c r="A1248">
        <v>9044</v>
      </c>
      <c r="B1248" t="s">
        <v>296</v>
      </c>
      <c r="C1248">
        <v>300</v>
      </c>
      <c r="D1248" s="3" t="s">
        <v>398</v>
      </c>
      <c r="E1248" t="s">
        <v>174</v>
      </c>
    </row>
    <row r="1249" spans="1:5" x14ac:dyDescent="0.25">
      <c r="A1249">
        <v>9044</v>
      </c>
      <c r="B1249" t="s">
        <v>296</v>
      </c>
      <c r="C1249">
        <v>308</v>
      </c>
      <c r="D1249" s="3" t="s">
        <v>383</v>
      </c>
      <c r="E1249" t="s">
        <v>174</v>
      </c>
    </row>
    <row r="1250" spans="1:5" x14ac:dyDescent="0.25">
      <c r="A1250">
        <v>9045</v>
      </c>
      <c r="B1250" t="s">
        <v>297</v>
      </c>
      <c r="C1250">
        <v>268</v>
      </c>
      <c r="D1250" s="3" t="s">
        <v>383</v>
      </c>
      <c r="E1250" t="s">
        <v>174</v>
      </c>
    </row>
    <row r="1251" spans="1:5" x14ac:dyDescent="0.25">
      <c r="A1251">
        <v>9053</v>
      </c>
      <c r="B1251" t="s">
        <v>44</v>
      </c>
      <c r="C1251">
        <v>320</v>
      </c>
      <c r="D1251" s="3" t="s">
        <v>378</v>
      </c>
      <c r="E1251" t="s">
        <v>45</v>
      </c>
    </row>
    <row r="1252" spans="1:5" x14ac:dyDescent="0.25">
      <c r="A1252">
        <v>9053</v>
      </c>
      <c r="B1252" t="s">
        <v>44</v>
      </c>
      <c r="C1252">
        <v>3010</v>
      </c>
      <c r="D1252" s="3" t="s">
        <v>395</v>
      </c>
      <c r="E1252" t="s">
        <v>45</v>
      </c>
    </row>
    <row r="1253" spans="1:5" x14ac:dyDescent="0.25">
      <c r="A1253">
        <v>9053</v>
      </c>
      <c r="B1253" t="s">
        <v>44</v>
      </c>
      <c r="C1253">
        <v>50</v>
      </c>
      <c r="D1253" s="3" t="s">
        <v>395</v>
      </c>
      <c r="E1253" t="s">
        <v>45</v>
      </c>
    </row>
    <row r="1254" spans="1:5" x14ac:dyDescent="0.25">
      <c r="A1254">
        <v>9053</v>
      </c>
      <c r="B1254" t="s">
        <v>44</v>
      </c>
      <c r="C1254">
        <v>640</v>
      </c>
      <c r="D1254" s="3" t="s">
        <v>385</v>
      </c>
      <c r="E1254" t="s">
        <v>45</v>
      </c>
    </row>
    <row r="1255" spans="1:5" x14ac:dyDescent="0.25">
      <c r="A1255">
        <v>9053</v>
      </c>
      <c r="B1255" t="s">
        <v>44</v>
      </c>
      <c r="C1255">
        <v>2340</v>
      </c>
      <c r="D1255" s="3" t="s">
        <v>388</v>
      </c>
      <c r="E1255" t="s">
        <v>45</v>
      </c>
    </row>
    <row r="1256" spans="1:5" x14ac:dyDescent="0.25">
      <c r="A1256">
        <v>9053</v>
      </c>
      <c r="B1256" t="s">
        <v>44</v>
      </c>
      <c r="C1256">
        <v>3620</v>
      </c>
      <c r="D1256" s="3" t="s">
        <v>397</v>
      </c>
      <c r="E1256" t="s">
        <v>45</v>
      </c>
    </row>
    <row r="1257" spans="1:5" x14ac:dyDescent="0.25">
      <c r="A1257">
        <v>9053</v>
      </c>
      <c r="B1257" t="s">
        <v>44</v>
      </c>
      <c r="C1257">
        <v>1890</v>
      </c>
      <c r="D1257" s="3" t="s">
        <v>392</v>
      </c>
      <c r="E1257" t="s">
        <v>45</v>
      </c>
    </row>
    <row r="1258" spans="1:5" x14ac:dyDescent="0.25">
      <c r="A1258">
        <v>9053</v>
      </c>
      <c r="B1258" t="s">
        <v>44</v>
      </c>
      <c r="C1258">
        <v>960</v>
      </c>
      <c r="D1258" s="3" t="s">
        <v>393</v>
      </c>
      <c r="E1258" t="s">
        <v>45</v>
      </c>
    </row>
    <row r="1259" spans="1:5" x14ac:dyDescent="0.25">
      <c r="A1259">
        <v>9055</v>
      </c>
      <c r="B1259" t="s">
        <v>313</v>
      </c>
      <c r="C1259">
        <v>400</v>
      </c>
      <c r="D1259" s="3" t="s">
        <v>378</v>
      </c>
      <c r="E1259" t="s">
        <v>174</v>
      </c>
    </row>
    <row r="1260" spans="1:5" x14ac:dyDescent="0.25">
      <c r="A1260">
        <v>9055</v>
      </c>
      <c r="B1260" t="s">
        <v>313</v>
      </c>
      <c r="C1260">
        <v>224</v>
      </c>
      <c r="D1260" s="3" t="s">
        <v>387</v>
      </c>
      <c r="E1260" t="s">
        <v>174</v>
      </c>
    </row>
    <row r="1261" spans="1:5" x14ac:dyDescent="0.25">
      <c r="A1261">
        <v>9188</v>
      </c>
      <c r="B1261" t="s">
        <v>48</v>
      </c>
      <c r="C1261">
        <v>800</v>
      </c>
      <c r="D1261" s="3" t="s">
        <v>377</v>
      </c>
      <c r="E1261" t="s">
        <v>15</v>
      </c>
    </row>
    <row r="1262" spans="1:5" x14ac:dyDescent="0.25">
      <c r="A1262">
        <v>9188</v>
      </c>
      <c r="B1262" t="s">
        <v>48</v>
      </c>
      <c r="C1262">
        <v>4080</v>
      </c>
      <c r="D1262" s="3" t="s">
        <v>398</v>
      </c>
      <c r="E1262" t="s">
        <v>15</v>
      </c>
    </row>
    <row r="1263" spans="1:5" x14ac:dyDescent="0.25">
      <c r="A1263">
        <v>9188</v>
      </c>
      <c r="B1263" t="s">
        <v>48</v>
      </c>
      <c r="C1263">
        <v>4530</v>
      </c>
      <c r="D1263" s="3" t="s">
        <v>381</v>
      </c>
      <c r="E1263" t="s">
        <v>15</v>
      </c>
    </row>
    <row r="1264" spans="1:5" x14ac:dyDescent="0.25">
      <c r="A1264">
        <v>9188</v>
      </c>
      <c r="B1264" t="s">
        <v>48</v>
      </c>
      <c r="C1264">
        <v>430</v>
      </c>
      <c r="D1264" s="3" t="s">
        <v>395</v>
      </c>
      <c r="E1264" t="s">
        <v>15</v>
      </c>
    </row>
    <row r="1265" spans="1:5" x14ac:dyDescent="0.25">
      <c r="A1265">
        <v>9201</v>
      </c>
      <c r="B1265" t="s">
        <v>50</v>
      </c>
      <c r="C1265">
        <v>2630</v>
      </c>
      <c r="D1265" s="3" t="s">
        <v>380</v>
      </c>
      <c r="E1265" t="s">
        <v>15</v>
      </c>
    </row>
    <row r="1266" spans="1:5" x14ac:dyDescent="0.25">
      <c r="A1266">
        <v>9201</v>
      </c>
      <c r="B1266" t="s">
        <v>50</v>
      </c>
      <c r="C1266">
        <v>50</v>
      </c>
      <c r="D1266" s="3" t="s">
        <v>395</v>
      </c>
      <c r="E1266" t="s">
        <v>15</v>
      </c>
    </row>
    <row r="1267" spans="1:5" x14ac:dyDescent="0.25">
      <c r="A1267">
        <v>9201</v>
      </c>
      <c r="B1267" t="s">
        <v>50</v>
      </c>
      <c r="C1267">
        <v>2090</v>
      </c>
      <c r="D1267" s="3" t="s">
        <v>384</v>
      </c>
      <c r="E1267" t="s">
        <v>15</v>
      </c>
    </row>
    <row r="1268" spans="1:5" x14ac:dyDescent="0.25">
      <c r="A1268">
        <v>9201</v>
      </c>
      <c r="B1268" t="s">
        <v>50</v>
      </c>
      <c r="C1268">
        <v>330</v>
      </c>
      <c r="D1268" s="3" t="s">
        <v>395</v>
      </c>
      <c r="E1268" t="s">
        <v>15</v>
      </c>
    </row>
    <row r="1269" spans="1:5" x14ac:dyDescent="0.25">
      <c r="A1269">
        <v>9201</v>
      </c>
      <c r="B1269" t="s">
        <v>50</v>
      </c>
      <c r="C1269">
        <v>5850</v>
      </c>
      <c r="D1269" s="3" t="s">
        <v>387</v>
      </c>
      <c r="E1269" t="s">
        <v>15</v>
      </c>
    </row>
    <row r="1270" spans="1:5" x14ac:dyDescent="0.25">
      <c r="A1270">
        <v>9201</v>
      </c>
      <c r="B1270" t="s">
        <v>50</v>
      </c>
      <c r="C1270">
        <v>1600</v>
      </c>
      <c r="D1270" s="3" t="s">
        <v>394</v>
      </c>
      <c r="E1270" t="s">
        <v>15</v>
      </c>
    </row>
    <row r="1271" spans="1:5" x14ac:dyDescent="0.25">
      <c r="A1271">
        <v>9211</v>
      </c>
      <c r="B1271" t="s">
        <v>51</v>
      </c>
      <c r="C1271">
        <v>324</v>
      </c>
      <c r="D1271" s="3" t="s">
        <v>384</v>
      </c>
      <c r="E1271" t="s">
        <v>28</v>
      </c>
    </row>
    <row r="1272" spans="1:5" x14ac:dyDescent="0.25">
      <c r="A1272">
        <v>9211</v>
      </c>
      <c r="B1272" t="s">
        <v>51</v>
      </c>
      <c r="C1272">
        <v>10152</v>
      </c>
      <c r="D1272" s="3" t="s">
        <v>376</v>
      </c>
      <c r="E1272" t="s">
        <v>28</v>
      </c>
    </row>
    <row r="1273" spans="1:5" x14ac:dyDescent="0.25">
      <c r="A1273">
        <v>9211</v>
      </c>
      <c r="B1273" t="s">
        <v>51</v>
      </c>
      <c r="C1273">
        <v>7128</v>
      </c>
      <c r="D1273" s="3" t="s">
        <v>390</v>
      </c>
      <c r="E1273" t="s">
        <v>28</v>
      </c>
    </row>
    <row r="1274" spans="1:5" x14ac:dyDescent="0.25">
      <c r="A1274">
        <v>9211</v>
      </c>
      <c r="B1274" t="s">
        <v>51</v>
      </c>
      <c r="C1274">
        <v>4320</v>
      </c>
      <c r="D1274" s="3" t="s">
        <v>394</v>
      </c>
      <c r="E1274" t="s">
        <v>28</v>
      </c>
    </row>
    <row r="1275" spans="1:5" x14ac:dyDescent="0.25">
      <c r="A1275">
        <v>9214</v>
      </c>
      <c r="B1275" t="s">
        <v>247</v>
      </c>
      <c r="C1275">
        <v>1200</v>
      </c>
      <c r="D1275" s="3" t="s">
        <v>395</v>
      </c>
      <c r="E1275" t="s">
        <v>15</v>
      </c>
    </row>
    <row r="1276" spans="1:5" x14ac:dyDescent="0.25">
      <c r="A1276">
        <v>9229</v>
      </c>
      <c r="B1276" t="s">
        <v>52</v>
      </c>
      <c r="C1276">
        <v>416</v>
      </c>
      <c r="D1276" s="3" t="s">
        <v>387</v>
      </c>
      <c r="E1276" t="s">
        <v>28</v>
      </c>
    </row>
    <row r="1277" spans="1:5" x14ac:dyDescent="0.25">
      <c r="A1277">
        <v>9229</v>
      </c>
      <c r="B1277" t="s">
        <v>52</v>
      </c>
      <c r="C1277">
        <v>624</v>
      </c>
      <c r="D1277" s="3" t="s">
        <v>376</v>
      </c>
      <c r="E1277" t="s">
        <v>28</v>
      </c>
    </row>
    <row r="1278" spans="1:5" x14ac:dyDescent="0.25">
      <c r="A1278">
        <v>9229</v>
      </c>
      <c r="B1278" t="s">
        <v>52</v>
      </c>
      <c r="C1278">
        <v>576</v>
      </c>
      <c r="D1278" s="3" t="s">
        <v>394</v>
      </c>
      <c r="E1278" t="s">
        <v>28</v>
      </c>
    </row>
    <row r="1279" spans="1:5" x14ac:dyDescent="0.25">
      <c r="A1279">
        <v>9237</v>
      </c>
      <c r="B1279" t="s">
        <v>53</v>
      </c>
      <c r="C1279">
        <v>2112</v>
      </c>
      <c r="D1279" s="3" t="s">
        <v>380</v>
      </c>
      <c r="E1279" t="s">
        <v>15</v>
      </c>
    </row>
    <row r="1280" spans="1:5" x14ac:dyDescent="0.25">
      <c r="A1280">
        <v>9237</v>
      </c>
      <c r="B1280" t="s">
        <v>53</v>
      </c>
      <c r="C1280">
        <v>1800</v>
      </c>
      <c r="D1280" s="3" t="s">
        <v>378</v>
      </c>
      <c r="E1280" t="s">
        <v>15</v>
      </c>
    </row>
    <row r="1281" spans="1:5" x14ac:dyDescent="0.25">
      <c r="A1281">
        <v>9237</v>
      </c>
      <c r="B1281" t="s">
        <v>53</v>
      </c>
      <c r="C1281">
        <v>1404</v>
      </c>
      <c r="D1281" s="3" t="s">
        <v>398</v>
      </c>
      <c r="E1281" t="s">
        <v>15</v>
      </c>
    </row>
    <row r="1282" spans="1:5" x14ac:dyDescent="0.25">
      <c r="A1282">
        <v>9237</v>
      </c>
      <c r="B1282" t="s">
        <v>53</v>
      </c>
      <c r="C1282">
        <v>708</v>
      </c>
      <c r="D1282" s="3" t="s">
        <v>383</v>
      </c>
      <c r="E1282" t="s">
        <v>15</v>
      </c>
    </row>
    <row r="1283" spans="1:5" x14ac:dyDescent="0.25">
      <c r="A1283">
        <v>9237</v>
      </c>
      <c r="B1283" t="s">
        <v>53</v>
      </c>
      <c r="C1283">
        <v>696</v>
      </c>
      <c r="D1283" s="3" t="s">
        <v>384</v>
      </c>
      <c r="E1283" t="s">
        <v>15</v>
      </c>
    </row>
    <row r="1284" spans="1:5" x14ac:dyDescent="0.25">
      <c r="A1284">
        <v>9237</v>
      </c>
      <c r="B1284" t="s">
        <v>53</v>
      </c>
      <c r="C1284">
        <v>540</v>
      </c>
      <c r="D1284" s="3" t="s">
        <v>393</v>
      </c>
      <c r="E1284" t="s">
        <v>15</v>
      </c>
    </row>
    <row r="1285" spans="1:5" x14ac:dyDescent="0.25">
      <c r="A1285">
        <v>2283</v>
      </c>
      <c r="B1285" t="s">
        <v>5</v>
      </c>
      <c r="C1285">
        <v>1120</v>
      </c>
      <c r="D1285" s="3" t="s">
        <v>399</v>
      </c>
      <c r="E1285" t="s">
        <v>7</v>
      </c>
    </row>
    <row r="1286" spans="1:5" x14ac:dyDescent="0.25">
      <c r="A1286">
        <v>2283</v>
      </c>
      <c r="B1286" t="s">
        <v>5</v>
      </c>
      <c r="C1286">
        <v>688</v>
      </c>
      <c r="D1286" s="3" t="s">
        <v>400</v>
      </c>
      <c r="E1286" t="s">
        <v>7</v>
      </c>
    </row>
    <row r="1287" spans="1:5" x14ac:dyDescent="0.25">
      <c r="A1287">
        <v>2283</v>
      </c>
      <c r="B1287" t="s">
        <v>5</v>
      </c>
      <c r="C1287">
        <v>1120</v>
      </c>
      <c r="D1287" s="3" t="s">
        <v>401</v>
      </c>
      <c r="E1287" t="s">
        <v>7</v>
      </c>
    </row>
    <row r="1288" spans="1:5" x14ac:dyDescent="0.25">
      <c r="A1288">
        <v>2283</v>
      </c>
      <c r="B1288" t="s">
        <v>5</v>
      </c>
      <c r="C1288">
        <v>1120</v>
      </c>
      <c r="D1288" s="3" t="s">
        <v>402</v>
      </c>
      <c r="E1288" t="s">
        <v>7</v>
      </c>
    </row>
    <row r="1289" spans="1:5" x14ac:dyDescent="0.25">
      <c r="A1289">
        <v>2543</v>
      </c>
      <c r="B1289" t="s">
        <v>10</v>
      </c>
      <c r="C1289">
        <v>560</v>
      </c>
      <c r="D1289" s="3" t="s">
        <v>403</v>
      </c>
      <c r="E1289" t="s">
        <v>7</v>
      </c>
    </row>
    <row r="1290" spans="1:5" x14ac:dyDescent="0.25">
      <c r="A1290">
        <v>2735</v>
      </c>
      <c r="B1290" t="s">
        <v>13</v>
      </c>
      <c r="C1290">
        <v>80</v>
      </c>
      <c r="D1290" s="3" t="s">
        <v>404</v>
      </c>
      <c r="E1290" t="s">
        <v>15</v>
      </c>
    </row>
    <row r="1291" spans="1:5" x14ac:dyDescent="0.25">
      <c r="A1291">
        <v>2735</v>
      </c>
      <c r="B1291" t="s">
        <v>13</v>
      </c>
      <c r="C1291">
        <v>720</v>
      </c>
      <c r="D1291" s="3" t="s">
        <v>404</v>
      </c>
      <c r="E1291" t="s">
        <v>15</v>
      </c>
    </row>
    <row r="1292" spans="1:5" x14ac:dyDescent="0.25">
      <c r="A1292">
        <v>2735</v>
      </c>
      <c r="B1292" t="s">
        <v>13</v>
      </c>
      <c r="C1292">
        <v>200</v>
      </c>
      <c r="D1292" s="3" t="s">
        <v>402</v>
      </c>
      <c r="E1292" t="s">
        <v>15</v>
      </c>
    </row>
    <row r="1293" spans="1:5" x14ac:dyDescent="0.25">
      <c r="A1293">
        <v>2738</v>
      </c>
      <c r="B1293" t="s">
        <v>16</v>
      </c>
      <c r="C1293">
        <v>1440</v>
      </c>
      <c r="D1293" s="3" t="s">
        <v>405</v>
      </c>
      <c r="E1293" t="s">
        <v>15</v>
      </c>
    </row>
    <row r="1294" spans="1:5" x14ac:dyDescent="0.25">
      <c r="A1294">
        <v>2738</v>
      </c>
      <c r="B1294" t="s">
        <v>16</v>
      </c>
      <c r="C1294">
        <v>1440</v>
      </c>
      <c r="D1294" s="3" t="s">
        <v>406</v>
      </c>
      <c r="E1294" t="s">
        <v>15</v>
      </c>
    </row>
    <row r="1295" spans="1:5" x14ac:dyDescent="0.25">
      <c r="A1295">
        <v>2738</v>
      </c>
      <c r="B1295" t="s">
        <v>16</v>
      </c>
      <c r="C1295">
        <v>915</v>
      </c>
      <c r="D1295" s="3" t="s">
        <v>407</v>
      </c>
      <c r="E1295" t="s">
        <v>15</v>
      </c>
    </row>
    <row r="1296" spans="1:5" x14ac:dyDescent="0.25">
      <c r="A1296">
        <v>2738</v>
      </c>
      <c r="B1296" t="s">
        <v>16</v>
      </c>
      <c r="C1296">
        <v>2655</v>
      </c>
      <c r="D1296" s="3" t="s">
        <v>408</v>
      </c>
      <c r="E1296" t="s">
        <v>15</v>
      </c>
    </row>
    <row r="1297" spans="1:5" x14ac:dyDescent="0.25">
      <c r="A1297">
        <v>2738</v>
      </c>
      <c r="B1297" t="s">
        <v>16</v>
      </c>
      <c r="C1297">
        <v>1440</v>
      </c>
      <c r="D1297" s="3" t="s">
        <v>403</v>
      </c>
      <c r="E1297" t="s">
        <v>15</v>
      </c>
    </row>
    <row r="1298" spans="1:5" x14ac:dyDescent="0.25">
      <c r="A1298">
        <v>2738</v>
      </c>
      <c r="B1298" t="s">
        <v>16</v>
      </c>
      <c r="C1298">
        <v>7200</v>
      </c>
      <c r="D1298" s="3" t="s">
        <v>409</v>
      </c>
      <c r="E1298" t="s">
        <v>15</v>
      </c>
    </row>
    <row r="1299" spans="1:5" x14ac:dyDescent="0.25">
      <c r="A1299">
        <v>2738</v>
      </c>
      <c r="B1299" t="s">
        <v>16</v>
      </c>
      <c r="C1299">
        <v>7740</v>
      </c>
      <c r="D1299" s="3" t="s">
        <v>410</v>
      </c>
      <c r="E1299" t="s">
        <v>15</v>
      </c>
    </row>
    <row r="1300" spans="1:5" x14ac:dyDescent="0.25">
      <c r="A1300">
        <v>2738</v>
      </c>
      <c r="B1300" t="s">
        <v>16</v>
      </c>
      <c r="C1300">
        <v>2160</v>
      </c>
      <c r="D1300" s="3" t="s">
        <v>411</v>
      </c>
      <c r="E1300" t="s">
        <v>15</v>
      </c>
    </row>
    <row r="1301" spans="1:5" x14ac:dyDescent="0.25">
      <c r="A1301">
        <v>2738</v>
      </c>
      <c r="B1301" t="s">
        <v>16</v>
      </c>
      <c r="C1301">
        <v>3600</v>
      </c>
      <c r="D1301" s="3" t="s">
        <v>412</v>
      </c>
      <c r="E1301" t="s">
        <v>15</v>
      </c>
    </row>
    <row r="1302" spans="1:5" x14ac:dyDescent="0.25">
      <c r="A1302">
        <v>2738</v>
      </c>
      <c r="B1302" t="s">
        <v>16</v>
      </c>
      <c r="C1302">
        <v>2880</v>
      </c>
      <c r="D1302" s="3" t="s">
        <v>402</v>
      </c>
      <c r="E1302" t="s">
        <v>15</v>
      </c>
    </row>
    <row r="1303" spans="1:5" x14ac:dyDescent="0.25">
      <c r="A1303">
        <v>2738</v>
      </c>
      <c r="B1303" t="s">
        <v>16</v>
      </c>
      <c r="C1303">
        <v>6030</v>
      </c>
      <c r="D1303" s="3" t="s">
        <v>413</v>
      </c>
      <c r="E1303" t="s">
        <v>15</v>
      </c>
    </row>
    <row r="1304" spans="1:5" x14ac:dyDescent="0.25">
      <c r="A1304">
        <v>4808</v>
      </c>
      <c r="B1304" t="s">
        <v>24</v>
      </c>
      <c r="C1304">
        <v>1296</v>
      </c>
      <c r="D1304" s="3" t="s">
        <v>399</v>
      </c>
      <c r="E1304" t="s">
        <v>25</v>
      </c>
    </row>
    <row r="1305" spans="1:5" x14ac:dyDescent="0.25">
      <c r="A1305">
        <v>4808</v>
      </c>
      <c r="B1305" t="s">
        <v>24</v>
      </c>
      <c r="C1305">
        <v>3248</v>
      </c>
      <c r="D1305" s="3" t="s">
        <v>401</v>
      </c>
      <c r="E1305" t="s">
        <v>25</v>
      </c>
    </row>
    <row r="1306" spans="1:5" x14ac:dyDescent="0.25">
      <c r="A1306">
        <v>4808</v>
      </c>
      <c r="B1306" t="s">
        <v>24</v>
      </c>
      <c r="C1306">
        <v>1184</v>
      </c>
      <c r="D1306" s="3" t="s">
        <v>402</v>
      </c>
      <c r="E1306" t="s">
        <v>25</v>
      </c>
    </row>
    <row r="1307" spans="1:5" x14ac:dyDescent="0.25">
      <c r="A1307">
        <v>4855</v>
      </c>
      <c r="B1307" t="s">
        <v>26</v>
      </c>
      <c r="C1307">
        <v>520</v>
      </c>
      <c r="D1307" s="3" t="s">
        <v>406</v>
      </c>
      <c r="E1307" t="s">
        <v>25</v>
      </c>
    </row>
    <row r="1308" spans="1:5" x14ac:dyDescent="0.25">
      <c r="A1308">
        <v>4855</v>
      </c>
      <c r="B1308" t="s">
        <v>26</v>
      </c>
      <c r="C1308">
        <v>2800</v>
      </c>
      <c r="D1308" s="3" t="s">
        <v>399</v>
      </c>
      <c r="E1308" t="s">
        <v>25</v>
      </c>
    </row>
    <row r="1309" spans="1:5" x14ac:dyDescent="0.25">
      <c r="A1309">
        <v>4855</v>
      </c>
      <c r="B1309" t="s">
        <v>26</v>
      </c>
      <c r="C1309">
        <v>3328</v>
      </c>
      <c r="D1309" s="3" t="s">
        <v>407</v>
      </c>
      <c r="E1309" t="s">
        <v>25</v>
      </c>
    </row>
    <row r="1310" spans="1:5" x14ac:dyDescent="0.25">
      <c r="A1310">
        <v>4855</v>
      </c>
      <c r="B1310" t="s">
        <v>26</v>
      </c>
      <c r="C1310">
        <v>5040</v>
      </c>
      <c r="D1310" s="3" t="s">
        <v>403</v>
      </c>
      <c r="E1310" t="s">
        <v>25</v>
      </c>
    </row>
    <row r="1311" spans="1:5" x14ac:dyDescent="0.25">
      <c r="A1311">
        <v>4906</v>
      </c>
      <c r="B1311" t="s">
        <v>73</v>
      </c>
      <c r="C1311">
        <v>2400</v>
      </c>
      <c r="D1311" s="3" t="s">
        <v>407</v>
      </c>
      <c r="E1311" t="s">
        <v>25</v>
      </c>
    </row>
    <row r="1312" spans="1:5" x14ac:dyDescent="0.25">
      <c r="A1312">
        <v>9001</v>
      </c>
      <c r="B1312" t="s">
        <v>29</v>
      </c>
      <c r="C1312">
        <v>5940</v>
      </c>
      <c r="D1312" s="3" t="s">
        <v>414</v>
      </c>
      <c r="E1312" t="s">
        <v>28</v>
      </c>
    </row>
    <row r="1313" spans="1:5" x14ac:dyDescent="0.25">
      <c r="A1313">
        <v>9001</v>
      </c>
      <c r="B1313" t="s">
        <v>29</v>
      </c>
      <c r="C1313">
        <v>1440</v>
      </c>
      <c r="D1313" s="3" t="s">
        <v>415</v>
      </c>
      <c r="E1313" t="s">
        <v>28</v>
      </c>
    </row>
    <row r="1314" spans="1:5" x14ac:dyDescent="0.25">
      <c r="A1314">
        <v>9001</v>
      </c>
      <c r="B1314" t="s">
        <v>29</v>
      </c>
      <c r="C1314">
        <v>1476</v>
      </c>
      <c r="D1314" s="3" t="s">
        <v>400</v>
      </c>
      <c r="E1314" t="s">
        <v>28</v>
      </c>
    </row>
    <row r="1315" spans="1:5" x14ac:dyDescent="0.25">
      <c r="A1315">
        <v>9001</v>
      </c>
      <c r="B1315" t="s">
        <v>29</v>
      </c>
      <c r="C1315">
        <v>5364</v>
      </c>
      <c r="D1315" s="3" t="s">
        <v>416</v>
      </c>
      <c r="E1315" t="s">
        <v>28</v>
      </c>
    </row>
    <row r="1316" spans="1:5" x14ac:dyDescent="0.25">
      <c r="A1316">
        <v>9001</v>
      </c>
      <c r="B1316" t="s">
        <v>29</v>
      </c>
      <c r="C1316">
        <v>4608</v>
      </c>
      <c r="D1316" s="3" t="s">
        <v>401</v>
      </c>
      <c r="E1316" t="s">
        <v>28</v>
      </c>
    </row>
    <row r="1317" spans="1:5" x14ac:dyDescent="0.25">
      <c r="A1317">
        <v>9001</v>
      </c>
      <c r="B1317" t="s">
        <v>29</v>
      </c>
      <c r="C1317">
        <v>2016</v>
      </c>
      <c r="D1317" s="3" t="s">
        <v>409</v>
      </c>
      <c r="E1317" t="s">
        <v>28</v>
      </c>
    </row>
    <row r="1318" spans="1:5" x14ac:dyDescent="0.25">
      <c r="A1318">
        <v>9001</v>
      </c>
      <c r="B1318" t="s">
        <v>29</v>
      </c>
      <c r="C1318">
        <v>4356</v>
      </c>
      <c r="D1318" s="3" t="s">
        <v>417</v>
      </c>
      <c r="E1318" t="s">
        <v>28</v>
      </c>
    </row>
    <row r="1319" spans="1:5" x14ac:dyDescent="0.25">
      <c r="A1319">
        <v>9001</v>
      </c>
      <c r="B1319" t="s">
        <v>29</v>
      </c>
      <c r="C1319">
        <v>2916</v>
      </c>
      <c r="D1319" s="3" t="s">
        <v>411</v>
      </c>
      <c r="E1319" t="s">
        <v>28</v>
      </c>
    </row>
    <row r="1320" spans="1:5" x14ac:dyDescent="0.25">
      <c r="A1320">
        <v>9001</v>
      </c>
      <c r="B1320" t="s">
        <v>29</v>
      </c>
      <c r="C1320">
        <v>1440</v>
      </c>
      <c r="D1320" s="3" t="s">
        <v>413</v>
      </c>
      <c r="E1320" t="s">
        <v>28</v>
      </c>
    </row>
    <row r="1321" spans="1:5" x14ac:dyDescent="0.25">
      <c r="A1321">
        <v>9003</v>
      </c>
      <c r="B1321" t="s">
        <v>32</v>
      </c>
      <c r="C1321">
        <v>3708</v>
      </c>
      <c r="D1321" s="3" t="s">
        <v>415</v>
      </c>
      <c r="E1321" t="s">
        <v>28</v>
      </c>
    </row>
    <row r="1322" spans="1:5" x14ac:dyDescent="0.25">
      <c r="A1322">
        <v>9003</v>
      </c>
      <c r="B1322" t="s">
        <v>32</v>
      </c>
      <c r="C1322">
        <v>1116</v>
      </c>
      <c r="D1322" s="3" t="s">
        <v>416</v>
      </c>
      <c r="E1322" t="s">
        <v>28</v>
      </c>
    </row>
    <row r="1323" spans="1:5" x14ac:dyDescent="0.25">
      <c r="A1323">
        <v>9003</v>
      </c>
      <c r="B1323" t="s">
        <v>32</v>
      </c>
      <c r="C1323">
        <v>2304</v>
      </c>
      <c r="D1323" s="3" t="s">
        <v>401</v>
      </c>
      <c r="E1323" t="s">
        <v>28</v>
      </c>
    </row>
    <row r="1324" spans="1:5" x14ac:dyDescent="0.25">
      <c r="A1324">
        <v>9003</v>
      </c>
      <c r="B1324" t="s">
        <v>32</v>
      </c>
      <c r="C1324">
        <v>4212</v>
      </c>
      <c r="D1324" s="3" t="s">
        <v>417</v>
      </c>
      <c r="E1324" t="s">
        <v>28</v>
      </c>
    </row>
    <row r="1325" spans="1:5" x14ac:dyDescent="0.25">
      <c r="A1325">
        <v>9003</v>
      </c>
      <c r="B1325" t="s">
        <v>32</v>
      </c>
      <c r="C1325">
        <v>3096</v>
      </c>
      <c r="D1325" s="3" t="s">
        <v>411</v>
      </c>
      <c r="E1325" t="s">
        <v>28</v>
      </c>
    </row>
    <row r="1326" spans="1:5" x14ac:dyDescent="0.25">
      <c r="A1326">
        <v>9003</v>
      </c>
      <c r="B1326" t="s">
        <v>32</v>
      </c>
      <c r="C1326">
        <v>7776</v>
      </c>
      <c r="D1326" s="3" t="s">
        <v>413</v>
      </c>
      <c r="E1326" t="s">
        <v>28</v>
      </c>
    </row>
    <row r="1327" spans="1:5" x14ac:dyDescent="0.25">
      <c r="A1327">
        <v>9004</v>
      </c>
      <c r="B1327" t="s">
        <v>33</v>
      </c>
      <c r="C1327">
        <v>288</v>
      </c>
      <c r="D1327" s="3" t="s">
        <v>414</v>
      </c>
      <c r="E1327" t="s">
        <v>28</v>
      </c>
    </row>
    <row r="1328" spans="1:5" x14ac:dyDescent="0.25">
      <c r="A1328">
        <v>9004</v>
      </c>
      <c r="B1328" t="s">
        <v>33</v>
      </c>
      <c r="C1328">
        <v>216</v>
      </c>
      <c r="D1328" s="3" t="s">
        <v>409</v>
      </c>
      <c r="E1328" t="s">
        <v>28</v>
      </c>
    </row>
    <row r="1329" spans="1:5" x14ac:dyDescent="0.25">
      <c r="A1329">
        <v>9005</v>
      </c>
      <c r="B1329" t="s">
        <v>34</v>
      </c>
      <c r="C1329">
        <v>684</v>
      </c>
      <c r="D1329" s="3" t="s">
        <v>414</v>
      </c>
      <c r="E1329" t="s">
        <v>28</v>
      </c>
    </row>
    <row r="1330" spans="1:5" x14ac:dyDescent="0.25">
      <c r="A1330">
        <v>9007</v>
      </c>
      <c r="B1330" t="s">
        <v>230</v>
      </c>
      <c r="C1330">
        <v>792</v>
      </c>
      <c r="D1330" s="3" t="s">
        <v>414</v>
      </c>
      <c r="E1330" t="s">
        <v>28</v>
      </c>
    </row>
    <row r="1331" spans="1:5" x14ac:dyDescent="0.25">
      <c r="A1331">
        <v>9009</v>
      </c>
      <c r="B1331" t="s">
        <v>77</v>
      </c>
      <c r="C1331">
        <v>864</v>
      </c>
      <c r="D1331" s="3" t="s">
        <v>400</v>
      </c>
      <c r="E1331" t="s">
        <v>28</v>
      </c>
    </row>
    <row r="1332" spans="1:5" x14ac:dyDescent="0.25">
      <c r="A1332">
        <v>9009</v>
      </c>
      <c r="B1332" t="s">
        <v>77</v>
      </c>
      <c r="C1332">
        <v>2412</v>
      </c>
      <c r="D1332" s="3" t="s">
        <v>416</v>
      </c>
      <c r="E1332" t="s">
        <v>28</v>
      </c>
    </row>
    <row r="1333" spans="1:5" x14ac:dyDescent="0.25">
      <c r="A1333">
        <v>9011</v>
      </c>
      <c r="B1333" t="s">
        <v>78</v>
      </c>
      <c r="C1333">
        <v>1152</v>
      </c>
      <c r="D1333" s="3" t="s">
        <v>414</v>
      </c>
      <c r="E1333" t="s">
        <v>28</v>
      </c>
    </row>
    <row r="1334" spans="1:5" x14ac:dyDescent="0.25">
      <c r="A1334">
        <v>9011</v>
      </c>
      <c r="B1334" t="s">
        <v>78</v>
      </c>
      <c r="C1334">
        <v>1296</v>
      </c>
      <c r="D1334" s="3" t="s">
        <v>400</v>
      </c>
      <c r="E1334" t="s">
        <v>28</v>
      </c>
    </row>
    <row r="1335" spans="1:5" x14ac:dyDescent="0.25">
      <c r="A1335">
        <v>9011</v>
      </c>
      <c r="B1335" t="s">
        <v>78</v>
      </c>
      <c r="C1335">
        <v>504</v>
      </c>
      <c r="D1335" s="3" t="s">
        <v>403</v>
      </c>
      <c r="E1335" t="s">
        <v>28</v>
      </c>
    </row>
    <row r="1336" spans="1:5" x14ac:dyDescent="0.25">
      <c r="A1336">
        <v>9011</v>
      </c>
      <c r="B1336" t="s">
        <v>78</v>
      </c>
      <c r="C1336">
        <v>1116</v>
      </c>
      <c r="D1336" s="3" t="s">
        <v>409</v>
      </c>
      <c r="E1336" t="s">
        <v>28</v>
      </c>
    </row>
    <row r="1337" spans="1:5" x14ac:dyDescent="0.25">
      <c r="A1337">
        <v>9013</v>
      </c>
      <c r="B1337" t="s">
        <v>35</v>
      </c>
      <c r="C1337">
        <v>2304</v>
      </c>
      <c r="D1337" s="3" t="s">
        <v>400</v>
      </c>
      <c r="E1337" t="s">
        <v>28</v>
      </c>
    </row>
    <row r="1338" spans="1:5" x14ac:dyDescent="0.25">
      <c r="A1338">
        <v>9013</v>
      </c>
      <c r="B1338" t="s">
        <v>35</v>
      </c>
      <c r="C1338">
        <v>2304</v>
      </c>
      <c r="D1338" s="3" t="s">
        <v>413</v>
      </c>
      <c r="E1338" t="s">
        <v>28</v>
      </c>
    </row>
    <row r="1339" spans="1:5" x14ac:dyDescent="0.25">
      <c r="A1339">
        <v>9018</v>
      </c>
      <c r="B1339" t="s">
        <v>36</v>
      </c>
      <c r="C1339">
        <v>648</v>
      </c>
      <c r="D1339" s="3" t="s">
        <v>413</v>
      </c>
      <c r="E1339" t="s">
        <v>28</v>
      </c>
    </row>
    <row r="1340" spans="1:5" x14ac:dyDescent="0.25">
      <c r="A1340">
        <v>9019</v>
      </c>
      <c r="B1340" t="s">
        <v>37</v>
      </c>
      <c r="C1340">
        <v>1728</v>
      </c>
      <c r="D1340" s="3" t="s">
        <v>414</v>
      </c>
      <c r="E1340" t="s">
        <v>28</v>
      </c>
    </row>
    <row r="1341" spans="1:5" x14ac:dyDescent="0.25">
      <c r="A1341">
        <v>9019</v>
      </c>
      <c r="B1341" t="s">
        <v>37</v>
      </c>
      <c r="C1341">
        <v>1008</v>
      </c>
      <c r="D1341" s="3" t="s">
        <v>400</v>
      </c>
      <c r="E1341" t="s">
        <v>28</v>
      </c>
    </row>
    <row r="1342" spans="1:5" x14ac:dyDescent="0.25">
      <c r="A1342">
        <v>9019</v>
      </c>
      <c r="B1342" t="s">
        <v>37</v>
      </c>
      <c r="C1342">
        <v>3528</v>
      </c>
      <c r="D1342" s="3" t="s">
        <v>417</v>
      </c>
      <c r="E1342" t="s">
        <v>28</v>
      </c>
    </row>
    <row r="1343" spans="1:5" x14ac:dyDescent="0.25">
      <c r="A1343">
        <v>9019</v>
      </c>
      <c r="B1343" t="s">
        <v>37</v>
      </c>
      <c r="C1343">
        <v>3456</v>
      </c>
      <c r="D1343" s="3" t="s">
        <v>411</v>
      </c>
      <c r="E1343" t="s">
        <v>28</v>
      </c>
    </row>
    <row r="1344" spans="1:5" x14ac:dyDescent="0.25">
      <c r="A1344">
        <v>9021</v>
      </c>
      <c r="B1344" t="s">
        <v>38</v>
      </c>
      <c r="C1344">
        <v>1836</v>
      </c>
      <c r="D1344" s="3" t="s">
        <v>401</v>
      </c>
      <c r="E1344" t="s">
        <v>28</v>
      </c>
    </row>
    <row r="1345" spans="1:5" x14ac:dyDescent="0.25">
      <c r="A1345">
        <v>9024</v>
      </c>
      <c r="B1345" t="s">
        <v>146</v>
      </c>
      <c r="C1345">
        <v>1080</v>
      </c>
      <c r="D1345" s="3" t="s">
        <v>416</v>
      </c>
      <c r="E1345" t="s">
        <v>28</v>
      </c>
    </row>
    <row r="1346" spans="1:5" x14ac:dyDescent="0.25">
      <c r="A1346">
        <v>9024</v>
      </c>
      <c r="B1346" t="s">
        <v>146</v>
      </c>
      <c r="C1346">
        <v>792</v>
      </c>
      <c r="D1346" s="3" t="s">
        <v>409</v>
      </c>
      <c r="E1346" t="s">
        <v>28</v>
      </c>
    </row>
    <row r="1347" spans="1:5" x14ac:dyDescent="0.25">
      <c r="A1347">
        <v>9025</v>
      </c>
      <c r="B1347" t="s">
        <v>40</v>
      </c>
      <c r="C1347">
        <v>720</v>
      </c>
      <c r="D1347" s="3" t="s">
        <v>414</v>
      </c>
      <c r="E1347" t="s">
        <v>28</v>
      </c>
    </row>
    <row r="1348" spans="1:5" x14ac:dyDescent="0.25">
      <c r="A1348">
        <v>9026</v>
      </c>
      <c r="B1348" t="s">
        <v>80</v>
      </c>
      <c r="C1348">
        <v>2304</v>
      </c>
      <c r="D1348" s="3" t="s">
        <v>415</v>
      </c>
      <c r="E1348" t="s">
        <v>28</v>
      </c>
    </row>
    <row r="1349" spans="1:5" x14ac:dyDescent="0.25">
      <c r="A1349">
        <v>9028</v>
      </c>
      <c r="B1349" t="s">
        <v>119</v>
      </c>
      <c r="C1349">
        <v>864</v>
      </c>
      <c r="D1349" s="3" t="s">
        <v>409</v>
      </c>
      <c r="E1349" t="s">
        <v>28</v>
      </c>
    </row>
    <row r="1350" spans="1:5" x14ac:dyDescent="0.25">
      <c r="A1350">
        <v>9028</v>
      </c>
      <c r="B1350" t="s">
        <v>119</v>
      </c>
      <c r="C1350">
        <v>792</v>
      </c>
      <c r="D1350" s="3" t="s">
        <v>411</v>
      </c>
      <c r="E1350" t="s">
        <v>28</v>
      </c>
    </row>
    <row r="1351" spans="1:5" x14ac:dyDescent="0.25">
      <c r="A1351">
        <v>9029</v>
      </c>
      <c r="B1351" t="s">
        <v>41</v>
      </c>
      <c r="C1351">
        <v>648</v>
      </c>
      <c r="D1351" s="3" t="s">
        <v>415</v>
      </c>
      <c r="E1351" t="s">
        <v>28</v>
      </c>
    </row>
    <row r="1352" spans="1:5" x14ac:dyDescent="0.25">
      <c r="A1352">
        <v>9029</v>
      </c>
      <c r="B1352" t="s">
        <v>41</v>
      </c>
      <c r="C1352">
        <v>648</v>
      </c>
      <c r="D1352" s="3" t="s">
        <v>400</v>
      </c>
      <c r="E1352" t="s">
        <v>28</v>
      </c>
    </row>
    <row r="1353" spans="1:5" x14ac:dyDescent="0.25">
      <c r="A1353">
        <v>9029</v>
      </c>
      <c r="B1353" t="s">
        <v>41</v>
      </c>
      <c r="C1353">
        <v>612</v>
      </c>
      <c r="D1353" s="3" t="s">
        <v>417</v>
      </c>
      <c r="E1353" t="s">
        <v>28</v>
      </c>
    </row>
    <row r="1354" spans="1:5" x14ac:dyDescent="0.25">
      <c r="A1354">
        <v>9031</v>
      </c>
      <c r="B1354" t="s">
        <v>42</v>
      </c>
      <c r="C1354">
        <v>1824</v>
      </c>
      <c r="D1354" s="3" t="s">
        <v>406</v>
      </c>
      <c r="E1354" t="s">
        <v>43</v>
      </c>
    </row>
    <row r="1355" spans="1:5" x14ac:dyDescent="0.25">
      <c r="A1355">
        <v>9031</v>
      </c>
      <c r="B1355" t="s">
        <v>42</v>
      </c>
      <c r="C1355">
        <v>2688</v>
      </c>
      <c r="D1355" s="3" t="s">
        <v>407</v>
      </c>
      <c r="E1355" t="s">
        <v>43</v>
      </c>
    </row>
    <row r="1356" spans="1:5" x14ac:dyDescent="0.25">
      <c r="A1356">
        <v>9031</v>
      </c>
      <c r="B1356" t="s">
        <v>42</v>
      </c>
      <c r="C1356">
        <v>1344</v>
      </c>
      <c r="D1356" s="3" t="s">
        <v>415</v>
      </c>
      <c r="E1356" t="s">
        <v>43</v>
      </c>
    </row>
    <row r="1357" spans="1:5" x14ac:dyDescent="0.25">
      <c r="A1357">
        <v>9032</v>
      </c>
      <c r="B1357" t="s">
        <v>172</v>
      </c>
      <c r="C1357">
        <v>1512</v>
      </c>
      <c r="D1357" s="3" t="s">
        <v>406</v>
      </c>
      <c r="E1357" t="s">
        <v>43</v>
      </c>
    </row>
    <row r="1358" spans="1:5" x14ac:dyDescent="0.25">
      <c r="A1358">
        <v>9033</v>
      </c>
      <c r="B1358" t="s">
        <v>81</v>
      </c>
      <c r="C1358">
        <v>370</v>
      </c>
      <c r="D1358" s="3" t="s">
        <v>418</v>
      </c>
      <c r="E1358" t="s">
        <v>15</v>
      </c>
    </row>
    <row r="1359" spans="1:5" x14ac:dyDescent="0.25">
      <c r="A1359">
        <v>9033</v>
      </c>
      <c r="B1359" t="s">
        <v>81</v>
      </c>
      <c r="C1359">
        <v>880</v>
      </c>
      <c r="D1359" s="3" t="s">
        <v>400</v>
      </c>
      <c r="E1359" t="s">
        <v>15</v>
      </c>
    </row>
    <row r="1360" spans="1:5" x14ac:dyDescent="0.25">
      <c r="A1360">
        <v>9034</v>
      </c>
      <c r="B1360" t="s">
        <v>82</v>
      </c>
      <c r="C1360">
        <v>6030</v>
      </c>
      <c r="D1360" s="3" t="s">
        <v>415</v>
      </c>
      <c r="E1360" t="s">
        <v>15</v>
      </c>
    </row>
    <row r="1361" spans="1:5" x14ac:dyDescent="0.25">
      <c r="A1361">
        <v>9034</v>
      </c>
      <c r="B1361" t="s">
        <v>82</v>
      </c>
      <c r="C1361">
        <v>4050</v>
      </c>
      <c r="D1361" s="3" t="s">
        <v>404</v>
      </c>
      <c r="E1361" t="s">
        <v>15</v>
      </c>
    </row>
    <row r="1362" spans="1:5" x14ac:dyDescent="0.25">
      <c r="A1362">
        <v>9034</v>
      </c>
      <c r="B1362" t="s">
        <v>82</v>
      </c>
      <c r="C1362">
        <v>5760</v>
      </c>
      <c r="D1362" s="3" t="s">
        <v>416</v>
      </c>
      <c r="E1362" t="s">
        <v>15</v>
      </c>
    </row>
    <row r="1363" spans="1:5" x14ac:dyDescent="0.25">
      <c r="A1363">
        <v>9034</v>
      </c>
      <c r="B1363" t="s">
        <v>82</v>
      </c>
      <c r="C1363">
        <v>2160</v>
      </c>
      <c r="D1363" s="3" t="s">
        <v>401</v>
      </c>
      <c r="E1363" t="s">
        <v>15</v>
      </c>
    </row>
    <row r="1364" spans="1:5" x14ac:dyDescent="0.25">
      <c r="A1364">
        <v>9036</v>
      </c>
      <c r="B1364" t="s">
        <v>120</v>
      </c>
      <c r="C1364">
        <v>830</v>
      </c>
      <c r="D1364" s="3" t="s">
        <v>417</v>
      </c>
      <c r="E1364" t="s">
        <v>15</v>
      </c>
    </row>
    <row r="1365" spans="1:5" x14ac:dyDescent="0.25">
      <c r="A1365">
        <v>9041</v>
      </c>
      <c r="B1365" t="s">
        <v>272</v>
      </c>
      <c r="C1365">
        <v>320</v>
      </c>
      <c r="D1365" s="3" t="s">
        <v>418</v>
      </c>
      <c r="E1365" t="s">
        <v>174</v>
      </c>
    </row>
    <row r="1366" spans="1:5" x14ac:dyDescent="0.25">
      <c r="A1366">
        <v>9042</v>
      </c>
      <c r="B1366" t="s">
        <v>312</v>
      </c>
      <c r="C1366">
        <v>240</v>
      </c>
      <c r="D1366" s="3" t="s">
        <v>418</v>
      </c>
      <c r="E1366" t="s">
        <v>174</v>
      </c>
    </row>
    <row r="1367" spans="1:5" x14ac:dyDescent="0.25">
      <c r="A1367">
        <v>9044</v>
      </c>
      <c r="B1367" t="s">
        <v>296</v>
      </c>
      <c r="C1367">
        <v>272</v>
      </c>
      <c r="D1367" s="3" t="s">
        <v>405</v>
      </c>
      <c r="E1367" t="s">
        <v>174</v>
      </c>
    </row>
    <row r="1368" spans="1:5" x14ac:dyDescent="0.25">
      <c r="A1368">
        <v>9053</v>
      </c>
      <c r="B1368" t="s">
        <v>44</v>
      </c>
      <c r="C1368">
        <v>2730</v>
      </c>
      <c r="D1368" s="3" t="s">
        <v>405</v>
      </c>
      <c r="E1368" t="s">
        <v>45</v>
      </c>
    </row>
    <row r="1369" spans="1:5" x14ac:dyDescent="0.25">
      <c r="A1369">
        <v>9053</v>
      </c>
      <c r="B1369" t="s">
        <v>44</v>
      </c>
      <c r="C1369">
        <v>960</v>
      </c>
      <c r="D1369" s="3" t="s">
        <v>406</v>
      </c>
      <c r="E1369" t="s">
        <v>45</v>
      </c>
    </row>
    <row r="1370" spans="1:5" x14ac:dyDescent="0.25">
      <c r="A1370">
        <v>9053</v>
      </c>
      <c r="B1370" t="s">
        <v>44</v>
      </c>
      <c r="C1370">
        <v>640</v>
      </c>
      <c r="D1370" s="3" t="s">
        <v>399</v>
      </c>
      <c r="E1370" t="s">
        <v>45</v>
      </c>
    </row>
    <row r="1371" spans="1:5" x14ac:dyDescent="0.25">
      <c r="A1371">
        <v>9053</v>
      </c>
      <c r="B1371" t="s">
        <v>44</v>
      </c>
      <c r="C1371">
        <v>430</v>
      </c>
      <c r="D1371" s="3" t="s">
        <v>414</v>
      </c>
      <c r="E1371" t="s">
        <v>45</v>
      </c>
    </row>
    <row r="1372" spans="1:5" x14ac:dyDescent="0.25">
      <c r="A1372">
        <v>9053</v>
      </c>
      <c r="B1372" t="s">
        <v>44</v>
      </c>
      <c r="C1372">
        <v>1080</v>
      </c>
      <c r="D1372" s="3" t="s">
        <v>415</v>
      </c>
      <c r="E1372" t="s">
        <v>45</v>
      </c>
    </row>
    <row r="1373" spans="1:5" x14ac:dyDescent="0.25">
      <c r="A1373">
        <v>9053</v>
      </c>
      <c r="B1373" t="s">
        <v>44</v>
      </c>
      <c r="C1373">
        <v>2560</v>
      </c>
      <c r="D1373" s="3" t="s">
        <v>417</v>
      </c>
      <c r="E1373" t="s">
        <v>45</v>
      </c>
    </row>
    <row r="1374" spans="1:5" x14ac:dyDescent="0.25">
      <c r="A1374">
        <v>9053</v>
      </c>
      <c r="B1374" t="s">
        <v>44</v>
      </c>
      <c r="C1374">
        <v>3310</v>
      </c>
      <c r="D1374" s="3" t="s">
        <v>411</v>
      </c>
      <c r="E1374" t="s">
        <v>45</v>
      </c>
    </row>
    <row r="1375" spans="1:5" x14ac:dyDescent="0.25">
      <c r="A1375">
        <v>9055</v>
      </c>
      <c r="B1375" t="s">
        <v>313</v>
      </c>
      <c r="C1375">
        <v>232</v>
      </c>
      <c r="D1375" s="3" t="s">
        <v>405</v>
      </c>
      <c r="E1375" t="s">
        <v>174</v>
      </c>
    </row>
    <row r="1376" spans="1:5" x14ac:dyDescent="0.25">
      <c r="A1376">
        <v>9064</v>
      </c>
      <c r="B1376" t="s">
        <v>46</v>
      </c>
      <c r="C1376">
        <v>420</v>
      </c>
      <c r="D1376" s="3" t="s">
        <v>407</v>
      </c>
      <c r="E1376" t="s">
        <v>45</v>
      </c>
    </row>
    <row r="1377" spans="1:5" x14ac:dyDescent="0.25">
      <c r="A1377">
        <v>9064</v>
      </c>
      <c r="B1377" t="s">
        <v>46</v>
      </c>
      <c r="C1377">
        <v>2940</v>
      </c>
      <c r="D1377" s="3" t="s">
        <v>414</v>
      </c>
      <c r="E1377" t="s">
        <v>45</v>
      </c>
    </row>
    <row r="1378" spans="1:5" x14ac:dyDescent="0.25">
      <c r="A1378">
        <v>9201</v>
      </c>
      <c r="B1378" t="s">
        <v>50</v>
      </c>
      <c r="C1378">
        <v>3170</v>
      </c>
      <c r="D1378" s="3" t="s">
        <v>404</v>
      </c>
      <c r="E1378" t="s">
        <v>15</v>
      </c>
    </row>
    <row r="1379" spans="1:5" x14ac:dyDescent="0.25">
      <c r="A1379">
        <v>9201</v>
      </c>
      <c r="B1379" t="s">
        <v>50</v>
      </c>
      <c r="C1379">
        <v>2560</v>
      </c>
      <c r="D1379" s="3" t="s">
        <v>418</v>
      </c>
      <c r="E1379" t="s">
        <v>15</v>
      </c>
    </row>
    <row r="1380" spans="1:5" x14ac:dyDescent="0.25">
      <c r="A1380">
        <v>9201</v>
      </c>
      <c r="B1380" t="s">
        <v>50</v>
      </c>
      <c r="C1380">
        <v>830</v>
      </c>
      <c r="D1380" s="3" t="s">
        <v>401</v>
      </c>
      <c r="E1380" t="s">
        <v>15</v>
      </c>
    </row>
    <row r="1381" spans="1:5" x14ac:dyDescent="0.25">
      <c r="A1381">
        <v>9201</v>
      </c>
      <c r="B1381" t="s">
        <v>50</v>
      </c>
      <c r="C1381">
        <v>3330</v>
      </c>
      <c r="D1381" s="3" t="s">
        <v>417</v>
      </c>
      <c r="E1381" t="s">
        <v>15</v>
      </c>
    </row>
    <row r="1382" spans="1:5" x14ac:dyDescent="0.25">
      <c r="A1382">
        <v>9201</v>
      </c>
      <c r="B1382" t="s">
        <v>50</v>
      </c>
      <c r="C1382">
        <v>3210</v>
      </c>
      <c r="D1382" s="3" t="s">
        <v>412</v>
      </c>
      <c r="E1382" t="s">
        <v>15</v>
      </c>
    </row>
    <row r="1383" spans="1:5" x14ac:dyDescent="0.25">
      <c r="A1383">
        <v>9201</v>
      </c>
      <c r="B1383" t="s">
        <v>50</v>
      </c>
      <c r="C1383">
        <v>3250</v>
      </c>
      <c r="D1383" s="3" t="s">
        <v>402</v>
      </c>
      <c r="E1383" t="s">
        <v>15</v>
      </c>
    </row>
    <row r="1384" spans="1:5" x14ac:dyDescent="0.25">
      <c r="A1384">
        <v>9211</v>
      </c>
      <c r="B1384" t="s">
        <v>51</v>
      </c>
      <c r="C1384">
        <v>3942</v>
      </c>
      <c r="D1384" s="3" t="s">
        <v>408</v>
      </c>
      <c r="E1384" t="s">
        <v>28</v>
      </c>
    </row>
    <row r="1385" spans="1:5" x14ac:dyDescent="0.25">
      <c r="A1385">
        <v>9213</v>
      </c>
      <c r="B1385" t="s">
        <v>84</v>
      </c>
      <c r="C1385">
        <v>2112</v>
      </c>
      <c r="D1385" s="3" t="s">
        <v>405</v>
      </c>
      <c r="E1385" t="s">
        <v>15</v>
      </c>
    </row>
    <row r="1386" spans="1:5" x14ac:dyDescent="0.25">
      <c r="A1386">
        <v>9213</v>
      </c>
      <c r="B1386" t="s">
        <v>84</v>
      </c>
      <c r="C1386">
        <v>4224</v>
      </c>
      <c r="D1386" s="3" t="s">
        <v>406</v>
      </c>
      <c r="E1386" t="s">
        <v>15</v>
      </c>
    </row>
    <row r="1387" spans="1:5" x14ac:dyDescent="0.25">
      <c r="A1387">
        <v>9213</v>
      </c>
      <c r="B1387" t="s">
        <v>84</v>
      </c>
      <c r="C1387">
        <v>4224</v>
      </c>
      <c r="D1387" s="3" t="s">
        <v>399</v>
      </c>
      <c r="E1387" t="s">
        <v>15</v>
      </c>
    </row>
    <row r="1388" spans="1:5" x14ac:dyDescent="0.25">
      <c r="A1388">
        <v>9227</v>
      </c>
      <c r="B1388" t="s">
        <v>178</v>
      </c>
      <c r="C1388">
        <v>144</v>
      </c>
      <c r="D1388" s="3" t="s">
        <v>407</v>
      </c>
      <c r="E1388" t="s">
        <v>15</v>
      </c>
    </row>
    <row r="1389" spans="1:5" x14ac:dyDescent="0.25">
      <c r="A1389">
        <v>9227</v>
      </c>
      <c r="B1389" t="s">
        <v>178</v>
      </c>
      <c r="C1389">
        <v>3840</v>
      </c>
      <c r="D1389" s="3" t="s">
        <v>408</v>
      </c>
      <c r="E1389" t="s">
        <v>15</v>
      </c>
    </row>
    <row r="1390" spans="1:5" x14ac:dyDescent="0.25">
      <c r="A1390">
        <v>9227</v>
      </c>
      <c r="B1390" t="s">
        <v>178</v>
      </c>
      <c r="C1390">
        <v>4032</v>
      </c>
      <c r="D1390" s="3" t="s">
        <v>418</v>
      </c>
      <c r="E1390" t="s">
        <v>15</v>
      </c>
    </row>
    <row r="1391" spans="1:5" x14ac:dyDescent="0.25">
      <c r="A1391">
        <v>9227</v>
      </c>
      <c r="B1391" t="s">
        <v>178</v>
      </c>
      <c r="C1391">
        <v>3072</v>
      </c>
      <c r="D1391" s="3" t="s">
        <v>400</v>
      </c>
      <c r="E1391" t="s">
        <v>15</v>
      </c>
    </row>
    <row r="1392" spans="1:5" x14ac:dyDescent="0.25">
      <c r="A1392">
        <v>9229</v>
      </c>
      <c r="B1392" t="s">
        <v>52</v>
      </c>
      <c r="C1392">
        <v>384</v>
      </c>
      <c r="D1392" s="3" t="s">
        <v>407</v>
      </c>
      <c r="E1392" t="s">
        <v>28</v>
      </c>
    </row>
    <row r="1393" spans="1:5" x14ac:dyDescent="0.25">
      <c r="A1393">
        <v>9237</v>
      </c>
      <c r="B1393" t="s">
        <v>53</v>
      </c>
      <c r="C1393">
        <v>192</v>
      </c>
      <c r="D1393" s="3" t="s">
        <v>407</v>
      </c>
      <c r="E1393" t="s">
        <v>15</v>
      </c>
    </row>
    <row r="1394" spans="1:5" x14ac:dyDescent="0.25">
      <c r="A1394">
        <v>9237</v>
      </c>
      <c r="B1394" t="s">
        <v>53</v>
      </c>
      <c r="C1394">
        <v>576</v>
      </c>
      <c r="D1394" s="3" t="s">
        <v>414</v>
      </c>
      <c r="E1394" t="s">
        <v>15</v>
      </c>
    </row>
    <row r="1395" spans="1:5" x14ac:dyDescent="0.25">
      <c r="A1395">
        <v>9237</v>
      </c>
      <c r="B1395" t="s">
        <v>53</v>
      </c>
      <c r="C1395">
        <v>324</v>
      </c>
      <c r="D1395" s="3" t="s">
        <v>412</v>
      </c>
      <c r="E1395" t="s">
        <v>15</v>
      </c>
    </row>
    <row r="1396" spans="1:5" x14ac:dyDescent="0.25">
      <c r="A1396">
        <v>9237</v>
      </c>
      <c r="B1396" t="s">
        <v>53</v>
      </c>
      <c r="C1396">
        <v>1344</v>
      </c>
      <c r="D1396" s="3" t="s">
        <v>413</v>
      </c>
      <c r="E1396" t="s">
        <v>15</v>
      </c>
    </row>
    <row r="1397" spans="1:5" x14ac:dyDescent="0.25">
      <c r="A1397">
        <v>9240</v>
      </c>
      <c r="B1397" t="s">
        <v>54</v>
      </c>
      <c r="C1397">
        <v>576</v>
      </c>
      <c r="D1397" s="3" t="s">
        <v>407</v>
      </c>
      <c r="E1397" t="s">
        <v>15</v>
      </c>
    </row>
    <row r="1398" spans="1:5" x14ac:dyDescent="0.25">
      <c r="A1398">
        <v>9240</v>
      </c>
      <c r="B1398" t="s">
        <v>54</v>
      </c>
      <c r="C1398">
        <v>576</v>
      </c>
      <c r="D1398" s="3" t="s">
        <v>414</v>
      </c>
      <c r="E1398" t="s">
        <v>15</v>
      </c>
    </row>
    <row r="1399" spans="1:5" x14ac:dyDescent="0.25">
      <c r="A1399">
        <v>9240</v>
      </c>
      <c r="B1399" t="s">
        <v>54</v>
      </c>
      <c r="C1399">
        <v>1152</v>
      </c>
      <c r="D1399" s="3" t="s">
        <v>412</v>
      </c>
      <c r="E1399" t="s">
        <v>15</v>
      </c>
    </row>
    <row r="1400" spans="1:5" x14ac:dyDescent="0.25">
      <c r="A1400">
        <v>9241</v>
      </c>
      <c r="B1400" t="s">
        <v>55</v>
      </c>
      <c r="C1400">
        <v>4032</v>
      </c>
      <c r="D1400" s="3" t="s">
        <v>401</v>
      </c>
      <c r="E1400" t="s">
        <v>28</v>
      </c>
    </row>
    <row r="1401" spans="1:5" x14ac:dyDescent="0.25">
      <c r="A1401">
        <v>9241</v>
      </c>
      <c r="B1401" t="s">
        <v>55</v>
      </c>
      <c r="C1401">
        <v>4032</v>
      </c>
      <c r="D1401" s="3" t="s">
        <v>403</v>
      </c>
      <c r="E1401" t="s">
        <v>28</v>
      </c>
    </row>
    <row r="1402" spans="1:5" x14ac:dyDescent="0.25">
      <c r="A1402">
        <v>9242</v>
      </c>
      <c r="B1402" t="s">
        <v>86</v>
      </c>
      <c r="C1402">
        <v>8064</v>
      </c>
      <c r="D1402" s="3" t="s">
        <v>409</v>
      </c>
      <c r="E1402" t="s">
        <v>28</v>
      </c>
    </row>
    <row r="1403" spans="1:5" x14ac:dyDescent="0.25">
      <c r="A1403">
        <v>9243</v>
      </c>
      <c r="B1403" t="s">
        <v>87</v>
      </c>
      <c r="C1403">
        <v>9144</v>
      </c>
      <c r="D1403" s="3" t="s">
        <v>403</v>
      </c>
      <c r="E1403" t="s">
        <v>28</v>
      </c>
    </row>
    <row r="1404" spans="1:5" x14ac:dyDescent="0.25">
      <c r="A1404">
        <v>2283</v>
      </c>
      <c r="B1404" t="s">
        <v>5</v>
      </c>
      <c r="C1404">
        <v>560</v>
      </c>
      <c r="D1404" s="3" t="s">
        <v>419</v>
      </c>
      <c r="E1404" t="s">
        <v>7</v>
      </c>
    </row>
    <row r="1405" spans="1:5" x14ac:dyDescent="0.25">
      <c r="A1405">
        <v>2283</v>
      </c>
      <c r="B1405" t="s">
        <v>5</v>
      </c>
      <c r="C1405">
        <v>24</v>
      </c>
      <c r="D1405" s="3" t="s">
        <v>419</v>
      </c>
      <c r="E1405" t="s">
        <v>7</v>
      </c>
    </row>
    <row r="1406" spans="1:5" x14ac:dyDescent="0.25">
      <c r="A1406">
        <v>2283</v>
      </c>
      <c r="B1406" t="s">
        <v>5</v>
      </c>
      <c r="C1406">
        <v>560</v>
      </c>
      <c r="D1406" s="3" t="s">
        <v>420</v>
      </c>
      <c r="E1406" t="s">
        <v>7</v>
      </c>
    </row>
    <row r="1407" spans="1:5" x14ac:dyDescent="0.25">
      <c r="A1407">
        <v>2283</v>
      </c>
      <c r="B1407" t="s">
        <v>5</v>
      </c>
      <c r="C1407">
        <v>2240</v>
      </c>
      <c r="D1407" s="3" t="s">
        <v>421</v>
      </c>
      <c r="E1407" t="s">
        <v>7</v>
      </c>
    </row>
    <row r="1408" spans="1:5" x14ac:dyDescent="0.25">
      <c r="A1408">
        <v>2285</v>
      </c>
      <c r="B1408" t="s">
        <v>9</v>
      </c>
      <c r="C1408">
        <v>656</v>
      </c>
      <c r="D1408" s="3" t="s">
        <v>422</v>
      </c>
      <c r="E1408" t="s">
        <v>7</v>
      </c>
    </row>
    <row r="1409" spans="1:5" x14ac:dyDescent="0.25">
      <c r="A1409">
        <v>2543</v>
      </c>
      <c r="B1409" t="s">
        <v>10</v>
      </c>
      <c r="C1409">
        <v>560</v>
      </c>
      <c r="D1409" s="3" t="s">
        <v>423</v>
      </c>
      <c r="E1409" t="s">
        <v>7</v>
      </c>
    </row>
    <row r="1410" spans="1:5" x14ac:dyDescent="0.25">
      <c r="A1410">
        <v>2553</v>
      </c>
      <c r="B1410" t="s">
        <v>11</v>
      </c>
      <c r="C1410">
        <v>1890</v>
      </c>
      <c r="D1410" s="3" t="s">
        <v>424</v>
      </c>
      <c r="E1410" t="s">
        <v>7</v>
      </c>
    </row>
    <row r="1411" spans="1:5" x14ac:dyDescent="0.25">
      <c r="A1411">
        <v>2735</v>
      </c>
      <c r="B1411" t="s">
        <v>13</v>
      </c>
      <c r="C1411">
        <v>3540</v>
      </c>
      <c r="D1411" s="3" t="s">
        <v>424</v>
      </c>
      <c r="E1411" t="s">
        <v>15</v>
      </c>
    </row>
    <row r="1412" spans="1:5" x14ac:dyDescent="0.25">
      <c r="A1412">
        <v>2737</v>
      </c>
      <c r="B1412" t="s">
        <v>134</v>
      </c>
      <c r="C1412">
        <v>75</v>
      </c>
      <c r="D1412" s="3" t="s">
        <v>214</v>
      </c>
      <c r="E1412" t="s">
        <v>15</v>
      </c>
    </row>
    <row r="1413" spans="1:5" x14ac:dyDescent="0.25">
      <c r="A1413">
        <v>2738</v>
      </c>
      <c r="B1413" t="s">
        <v>16</v>
      </c>
      <c r="C1413">
        <v>3705</v>
      </c>
      <c r="D1413" s="3" t="s">
        <v>425</v>
      </c>
      <c r="E1413" t="s">
        <v>15</v>
      </c>
    </row>
    <row r="1414" spans="1:5" x14ac:dyDescent="0.25">
      <c r="A1414">
        <v>2738</v>
      </c>
      <c r="B1414" t="s">
        <v>16</v>
      </c>
      <c r="C1414">
        <v>4080</v>
      </c>
      <c r="D1414" s="3" t="s">
        <v>426</v>
      </c>
      <c r="E1414" t="s">
        <v>15</v>
      </c>
    </row>
    <row r="1415" spans="1:5" x14ac:dyDescent="0.25">
      <c r="A1415">
        <v>2738</v>
      </c>
      <c r="B1415" t="s">
        <v>16</v>
      </c>
      <c r="C1415">
        <v>2880</v>
      </c>
      <c r="D1415" s="3" t="s">
        <v>427</v>
      </c>
      <c r="E1415" t="s">
        <v>15</v>
      </c>
    </row>
    <row r="1416" spans="1:5" x14ac:dyDescent="0.25">
      <c r="A1416">
        <v>2738</v>
      </c>
      <c r="B1416" t="s">
        <v>16</v>
      </c>
      <c r="C1416">
        <v>1200</v>
      </c>
      <c r="D1416" s="3" t="s">
        <v>419</v>
      </c>
      <c r="E1416" t="s">
        <v>15</v>
      </c>
    </row>
    <row r="1417" spans="1:5" x14ac:dyDescent="0.25">
      <c r="A1417">
        <v>2738</v>
      </c>
      <c r="B1417" t="s">
        <v>16</v>
      </c>
      <c r="C1417">
        <v>5640</v>
      </c>
      <c r="D1417" s="3" t="s">
        <v>428</v>
      </c>
      <c r="E1417" t="s">
        <v>15</v>
      </c>
    </row>
    <row r="1418" spans="1:5" x14ac:dyDescent="0.25">
      <c r="A1418">
        <v>2738</v>
      </c>
      <c r="B1418" t="s">
        <v>16</v>
      </c>
      <c r="C1418">
        <v>1440</v>
      </c>
      <c r="D1418" s="3" t="s">
        <v>424</v>
      </c>
      <c r="E1418" t="s">
        <v>15</v>
      </c>
    </row>
    <row r="1419" spans="1:5" x14ac:dyDescent="0.25">
      <c r="A1419">
        <v>2738</v>
      </c>
      <c r="B1419" t="s">
        <v>16</v>
      </c>
      <c r="C1419">
        <v>2160</v>
      </c>
      <c r="D1419" s="3" t="s">
        <v>422</v>
      </c>
      <c r="E1419" t="s">
        <v>15</v>
      </c>
    </row>
    <row r="1420" spans="1:5" x14ac:dyDescent="0.25">
      <c r="A1420">
        <v>2738</v>
      </c>
      <c r="B1420" t="s">
        <v>16</v>
      </c>
      <c r="C1420">
        <v>1980</v>
      </c>
      <c r="D1420" s="3" t="s">
        <v>429</v>
      </c>
      <c r="E1420" t="s">
        <v>15</v>
      </c>
    </row>
    <row r="1421" spans="1:5" x14ac:dyDescent="0.25">
      <c r="A1421">
        <v>2738</v>
      </c>
      <c r="B1421" t="s">
        <v>16</v>
      </c>
      <c r="C1421">
        <v>3060</v>
      </c>
      <c r="D1421" s="3" t="s">
        <v>420</v>
      </c>
      <c r="E1421" t="s">
        <v>15</v>
      </c>
    </row>
    <row r="1422" spans="1:5" x14ac:dyDescent="0.25">
      <c r="A1422">
        <v>2738</v>
      </c>
      <c r="B1422" t="s">
        <v>16</v>
      </c>
      <c r="C1422">
        <v>1440</v>
      </c>
      <c r="D1422" s="3" t="s">
        <v>421</v>
      </c>
      <c r="E1422" t="s">
        <v>15</v>
      </c>
    </row>
    <row r="1423" spans="1:5" x14ac:dyDescent="0.25">
      <c r="A1423">
        <v>4808</v>
      </c>
      <c r="B1423" t="s">
        <v>24</v>
      </c>
      <c r="C1423">
        <v>840</v>
      </c>
      <c r="D1423" s="3" t="s">
        <v>419</v>
      </c>
      <c r="E1423" t="s">
        <v>25</v>
      </c>
    </row>
    <row r="1424" spans="1:5" x14ac:dyDescent="0.25">
      <c r="A1424">
        <v>4808</v>
      </c>
      <c r="B1424" t="s">
        <v>24</v>
      </c>
      <c r="C1424">
        <v>1752</v>
      </c>
      <c r="D1424" s="3" t="s">
        <v>422</v>
      </c>
      <c r="E1424" t="s">
        <v>25</v>
      </c>
    </row>
    <row r="1425" spans="1:5" x14ac:dyDescent="0.25">
      <c r="A1425">
        <v>4808</v>
      </c>
      <c r="B1425" t="s">
        <v>24</v>
      </c>
      <c r="C1425">
        <v>1096</v>
      </c>
      <c r="D1425" s="3" t="s">
        <v>420</v>
      </c>
      <c r="E1425" t="s">
        <v>25</v>
      </c>
    </row>
    <row r="1426" spans="1:5" x14ac:dyDescent="0.25">
      <c r="A1426">
        <v>4808</v>
      </c>
      <c r="B1426" t="s">
        <v>24</v>
      </c>
      <c r="C1426">
        <v>2032</v>
      </c>
      <c r="D1426" s="3" t="s">
        <v>421</v>
      </c>
      <c r="E1426" t="s">
        <v>25</v>
      </c>
    </row>
    <row r="1427" spans="1:5" x14ac:dyDescent="0.25">
      <c r="A1427">
        <v>4855</v>
      </c>
      <c r="B1427" t="s">
        <v>26</v>
      </c>
      <c r="C1427">
        <v>1384</v>
      </c>
      <c r="D1427" s="3" t="s">
        <v>427</v>
      </c>
      <c r="E1427" t="s">
        <v>25</v>
      </c>
    </row>
    <row r="1428" spans="1:5" x14ac:dyDescent="0.25">
      <c r="A1428">
        <v>4855</v>
      </c>
      <c r="B1428" t="s">
        <v>26</v>
      </c>
      <c r="C1428">
        <v>8</v>
      </c>
      <c r="D1428" s="3" t="s">
        <v>422</v>
      </c>
      <c r="E1428" t="s">
        <v>25</v>
      </c>
    </row>
    <row r="1429" spans="1:5" x14ac:dyDescent="0.25">
      <c r="A1429">
        <v>4855</v>
      </c>
      <c r="B1429" t="s">
        <v>26</v>
      </c>
      <c r="C1429">
        <v>1600</v>
      </c>
      <c r="D1429" s="3" t="s">
        <v>422</v>
      </c>
      <c r="E1429" t="s">
        <v>25</v>
      </c>
    </row>
    <row r="1430" spans="1:5" x14ac:dyDescent="0.25">
      <c r="A1430">
        <v>4855</v>
      </c>
      <c r="B1430" t="s">
        <v>26</v>
      </c>
      <c r="C1430">
        <v>608</v>
      </c>
      <c r="D1430" s="3" t="s">
        <v>420</v>
      </c>
      <c r="E1430" t="s">
        <v>25</v>
      </c>
    </row>
    <row r="1431" spans="1:5" x14ac:dyDescent="0.25">
      <c r="A1431">
        <v>4855</v>
      </c>
      <c r="B1431" t="s">
        <v>26</v>
      </c>
      <c r="C1431">
        <v>2728</v>
      </c>
      <c r="D1431" s="3" t="s">
        <v>423</v>
      </c>
      <c r="E1431" t="s">
        <v>25</v>
      </c>
    </row>
    <row r="1432" spans="1:5" x14ac:dyDescent="0.25">
      <c r="A1432">
        <v>4906</v>
      </c>
      <c r="B1432" t="s">
        <v>73</v>
      </c>
      <c r="C1432">
        <v>2100</v>
      </c>
      <c r="D1432" s="3" t="s">
        <v>430</v>
      </c>
      <c r="E1432" t="s">
        <v>25</v>
      </c>
    </row>
    <row r="1433" spans="1:5" x14ac:dyDescent="0.25">
      <c r="A1433">
        <v>4961</v>
      </c>
      <c r="B1433" t="s">
        <v>144</v>
      </c>
      <c r="C1433">
        <v>1120</v>
      </c>
      <c r="D1433" s="3" t="s">
        <v>420</v>
      </c>
      <c r="E1433" t="s">
        <v>25</v>
      </c>
    </row>
    <row r="1434" spans="1:5" x14ac:dyDescent="0.25">
      <c r="A1434">
        <v>9001</v>
      </c>
      <c r="B1434" t="s">
        <v>29</v>
      </c>
      <c r="C1434">
        <v>6048</v>
      </c>
      <c r="D1434" s="3" t="s">
        <v>425</v>
      </c>
      <c r="E1434" t="s">
        <v>28</v>
      </c>
    </row>
    <row r="1435" spans="1:5" x14ac:dyDescent="0.25">
      <c r="A1435">
        <v>9001</v>
      </c>
      <c r="B1435" t="s">
        <v>29</v>
      </c>
      <c r="C1435">
        <v>8712</v>
      </c>
      <c r="D1435" s="3" t="s">
        <v>426</v>
      </c>
      <c r="E1435" t="s">
        <v>28</v>
      </c>
    </row>
    <row r="1436" spans="1:5" x14ac:dyDescent="0.25">
      <c r="A1436">
        <v>9001</v>
      </c>
      <c r="B1436" t="s">
        <v>29</v>
      </c>
      <c r="C1436">
        <v>8100</v>
      </c>
      <c r="D1436" s="3" t="s">
        <v>427</v>
      </c>
      <c r="E1436" t="s">
        <v>28</v>
      </c>
    </row>
    <row r="1437" spans="1:5" x14ac:dyDescent="0.25">
      <c r="A1437">
        <v>9001</v>
      </c>
      <c r="B1437" t="s">
        <v>29</v>
      </c>
      <c r="C1437">
        <v>9900</v>
      </c>
      <c r="D1437" s="3" t="s">
        <v>419</v>
      </c>
      <c r="E1437" t="s">
        <v>28</v>
      </c>
    </row>
    <row r="1438" spans="1:5" x14ac:dyDescent="0.25">
      <c r="A1438">
        <v>9001</v>
      </c>
      <c r="B1438" t="s">
        <v>29</v>
      </c>
      <c r="C1438">
        <v>6192</v>
      </c>
      <c r="D1438" s="3" t="s">
        <v>431</v>
      </c>
      <c r="E1438" t="s">
        <v>28</v>
      </c>
    </row>
    <row r="1439" spans="1:5" x14ac:dyDescent="0.25">
      <c r="A1439">
        <v>9001</v>
      </c>
      <c r="B1439" t="s">
        <v>29</v>
      </c>
      <c r="C1439">
        <v>8640</v>
      </c>
      <c r="D1439" s="3" t="s">
        <v>428</v>
      </c>
      <c r="E1439" t="s">
        <v>28</v>
      </c>
    </row>
    <row r="1440" spans="1:5" x14ac:dyDescent="0.25">
      <c r="A1440">
        <v>9001</v>
      </c>
      <c r="B1440" t="s">
        <v>29</v>
      </c>
      <c r="C1440">
        <v>1044</v>
      </c>
      <c r="D1440" s="3" t="s">
        <v>424</v>
      </c>
      <c r="E1440" t="s">
        <v>28</v>
      </c>
    </row>
    <row r="1441" spans="1:5" x14ac:dyDescent="0.25">
      <c r="A1441">
        <v>9001</v>
      </c>
      <c r="B1441" t="s">
        <v>29</v>
      </c>
      <c r="C1441">
        <v>3888</v>
      </c>
      <c r="D1441" s="3" t="s">
        <v>422</v>
      </c>
      <c r="E1441" t="s">
        <v>28</v>
      </c>
    </row>
    <row r="1442" spans="1:5" x14ac:dyDescent="0.25">
      <c r="A1442">
        <v>9001</v>
      </c>
      <c r="B1442" t="s">
        <v>29</v>
      </c>
      <c r="C1442">
        <v>2772</v>
      </c>
      <c r="D1442" s="3" t="s">
        <v>429</v>
      </c>
      <c r="E1442" t="s">
        <v>28</v>
      </c>
    </row>
    <row r="1443" spans="1:5" x14ac:dyDescent="0.25">
      <c r="A1443">
        <v>9001</v>
      </c>
      <c r="B1443" t="s">
        <v>29</v>
      </c>
      <c r="C1443">
        <v>3888</v>
      </c>
      <c r="D1443" s="3" t="s">
        <v>420</v>
      </c>
      <c r="E1443" t="s">
        <v>28</v>
      </c>
    </row>
    <row r="1444" spans="1:5" x14ac:dyDescent="0.25">
      <c r="A1444">
        <v>9001</v>
      </c>
      <c r="B1444" t="s">
        <v>29</v>
      </c>
      <c r="C1444">
        <v>6552</v>
      </c>
      <c r="D1444" s="3" t="s">
        <v>432</v>
      </c>
      <c r="E1444" t="s">
        <v>28</v>
      </c>
    </row>
    <row r="1445" spans="1:5" x14ac:dyDescent="0.25">
      <c r="A1445">
        <v>9001</v>
      </c>
      <c r="B1445" t="s">
        <v>29</v>
      </c>
      <c r="C1445">
        <v>4824</v>
      </c>
      <c r="D1445" s="3" t="s">
        <v>423</v>
      </c>
      <c r="E1445" t="s">
        <v>28</v>
      </c>
    </row>
    <row r="1446" spans="1:5" x14ac:dyDescent="0.25">
      <c r="A1446">
        <v>9001</v>
      </c>
      <c r="B1446" t="s">
        <v>29</v>
      </c>
      <c r="C1446">
        <v>1512</v>
      </c>
      <c r="D1446" s="3" t="s">
        <v>421</v>
      </c>
      <c r="E1446" t="s">
        <v>28</v>
      </c>
    </row>
    <row r="1447" spans="1:5" x14ac:dyDescent="0.25">
      <c r="A1447">
        <v>9003</v>
      </c>
      <c r="B1447" t="s">
        <v>32</v>
      </c>
      <c r="C1447">
        <v>1080</v>
      </c>
      <c r="D1447" s="3" t="s">
        <v>425</v>
      </c>
      <c r="E1447" t="s">
        <v>28</v>
      </c>
    </row>
    <row r="1448" spans="1:5" x14ac:dyDescent="0.25">
      <c r="A1448">
        <v>9003</v>
      </c>
      <c r="B1448" t="s">
        <v>32</v>
      </c>
      <c r="C1448">
        <v>1548</v>
      </c>
      <c r="D1448" s="3" t="s">
        <v>419</v>
      </c>
      <c r="E1448" t="s">
        <v>28</v>
      </c>
    </row>
    <row r="1449" spans="1:5" x14ac:dyDescent="0.25">
      <c r="A1449">
        <v>9003</v>
      </c>
      <c r="B1449" t="s">
        <v>32</v>
      </c>
      <c r="C1449">
        <v>5760</v>
      </c>
      <c r="D1449" s="3" t="s">
        <v>431</v>
      </c>
      <c r="E1449" t="s">
        <v>28</v>
      </c>
    </row>
    <row r="1450" spans="1:5" x14ac:dyDescent="0.25">
      <c r="A1450">
        <v>9003</v>
      </c>
      <c r="B1450" t="s">
        <v>32</v>
      </c>
      <c r="C1450">
        <v>5220</v>
      </c>
      <c r="D1450" s="3" t="s">
        <v>424</v>
      </c>
      <c r="E1450" t="s">
        <v>28</v>
      </c>
    </row>
    <row r="1451" spans="1:5" x14ac:dyDescent="0.25">
      <c r="A1451">
        <v>9003</v>
      </c>
      <c r="B1451" t="s">
        <v>32</v>
      </c>
      <c r="C1451">
        <v>792</v>
      </c>
      <c r="D1451" s="3" t="s">
        <v>422</v>
      </c>
      <c r="E1451" t="s">
        <v>28</v>
      </c>
    </row>
    <row r="1452" spans="1:5" x14ac:dyDescent="0.25">
      <c r="A1452">
        <v>9003</v>
      </c>
      <c r="B1452" t="s">
        <v>32</v>
      </c>
      <c r="C1452">
        <v>2484</v>
      </c>
      <c r="D1452" s="3" t="s">
        <v>429</v>
      </c>
      <c r="E1452" t="s">
        <v>28</v>
      </c>
    </row>
    <row r="1453" spans="1:5" x14ac:dyDescent="0.25">
      <c r="A1453">
        <v>9003</v>
      </c>
      <c r="B1453" t="s">
        <v>32</v>
      </c>
      <c r="C1453">
        <v>2196</v>
      </c>
      <c r="D1453" s="3" t="s">
        <v>420</v>
      </c>
      <c r="E1453" t="s">
        <v>28</v>
      </c>
    </row>
    <row r="1454" spans="1:5" x14ac:dyDescent="0.25">
      <c r="A1454">
        <v>9003</v>
      </c>
      <c r="B1454" t="s">
        <v>32</v>
      </c>
      <c r="C1454">
        <v>2304</v>
      </c>
      <c r="D1454" s="3" t="s">
        <v>432</v>
      </c>
      <c r="E1454" t="s">
        <v>28</v>
      </c>
    </row>
    <row r="1455" spans="1:5" x14ac:dyDescent="0.25">
      <c r="A1455">
        <v>9003</v>
      </c>
      <c r="B1455" t="s">
        <v>32</v>
      </c>
      <c r="C1455">
        <v>3888</v>
      </c>
      <c r="D1455" s="3" t="s">
        <v>423</v>
      </c>
      <c r="E1455" t="s">
        <v>28</v>
      </c>
    </row>
    <row r="1456" spans="1:5" x14ac:dyDescent="0.25">
      <c r="A1456">
        <v>9004</v>
      </c>
      <c r="B1456" t="s">
        <v>33</v>
      </c>
      <c r="C1456">
        <v>2304</v>
      </c>
      <c r="D1456" s="3" t="s">
        <v>428</v>
      </c>
      <c r="E1456" t="s">
        <v>28</v>
      </c>
    </row>
    <row r="1457" spans="1:5" x14ac:dyDescent="0.25">
      <c r="A1457">
        <v>9004</v>
      </c>
      <c r="B1457" t="s">
        <v>33</v>
      </c>
      <c r="C1457">
        <v>1584</v>
      </c>
      <c r="D1457" s="3" t="s">
        <v>432</v>
      </c>
      <c r="E1457" t="s">
        <v>28</v>
      </c>
    </row>
    <row r="1458" spans="1:5" x14ac:dyDescent="0.25">
      <c r="A1458">
        <v>9004</v>
      </c>
      <c r="B1458" t="s">
        <v>33</v>
      </c>
      <c r="C1458">
        <v>720</v>
      </c>
      <c r="D1458" s="3" t="s">
        <v>423</v>
      </c>
      <c r="E1458" t="s">
        <v>28</v>
      </c>
    </row>
    <row r="1459" spans="1:5" x14ac:dyDescent="0.25">
      <c r="A1459">
        <v>9004</v>
      </c>
      <c r="B1459" t="s">
        <v>33</v>
      </c>
      <c r="C1459">
        <v>1800</v>
      </c>
      <c r="D1459" s="3" t="s">
        <v>421</v>
      </c>
      <c r="E1459" t="s">
        <v>28</v>
      </c>
    </row>
    <row r="1460" spans="1:5" x14ac:dyDescent="0.25">
      <c r="A1460">
        <v>9005</v>
      </c>
      <c r="B1460" t="s">
        <v>34</v>
      </c>
      <c r="C1460">
        <v>792</v>
      </c>
      <c r="D1460" s="3" t="s">
        <v>422</v>
      </c>
      <c r="E1460" t="s">
        <v>28</v>
      </c>
    </row>
    <row r="1461" spans="1:5" x14ac:dyDescent="0.25">
      <c r="A1461">
        <v>9005</v>
      </c>
      <c r="B1461" t="s">
        <v>34</v>
      </c>
      <c r="C1461">
        <v>828</v>
      </c>
      <c r="D1461" s="3" t="s">
        <v>420</v>
      </c>
      <c r="E1461" t="s">
        <v>28</v>
      </c>
    </row>
    <row r="1462" spans="1:5" x14ac:dyDescent="0.25">
      <c r="A1462">
        <v>9009</v>
      </c>
      <c r="B1462" t="s">
        <v>77</v>
      </c>
      <c r="C1462">
        <v>792</v>
      </c>
      <c r="D1462" s="3" t="s">
        <v>424</v>
      </c>
      <c r="E1462" t="s">
        <v>28</v>
      </c>
    </row>
    <row r="1463" spans="1:5" x14ac:dyDescent="0.25">
      <c r="A1463">
        <v>9009</v>
      </c>
      <c r="B1463" t="s">
        <v>77</v>
      </c>
      <c r="C1463">
        <v>972</v>
      </c>
      <c r="D1463" s="3" t="s">
        <v>423</v>
      </c>
      <c r="E1463" t="s">
        <v>28</v>
      </c>
    </row>
    <row r="1464" spans="1:5" x14ac:dyDescent="0.25">
      <c r="A1464">
        <v>9011</v>
      </c>
      <c r="B1464" t="s">
        <v>78</v>
      </c>
      <c r="C1464">
        <v>2880</v>
      </c>
      <c r="D1464" s="3" t="s">
        <v>428</v>
      </c>
      <c r="E1464" t="s">
        <v>28</v>
      </c>
    </row>
    <row r="1465" spans="1:5" x14ac:dyDescent="0.25">
      <c r="A1465">
        <v>9011</v>
      </c>
      <c r="B1465" t="s">
        <v>78</v>
      </c>
      <c r="C1465">
        <v>4860</v>
      </c>
      <c r="D1465" s="3" t="s">
        <v>422</v>
      </c>
      <c r="E1465" t="s">
        <v>28</v>
      </c>
    </row>
    <row r="1466" spans="1:5" x14ac:dyDescent="0.25">
      <c r="A1466">
        <v>9011</v>
      </c>
      <c r="B1466" t="s">
        <v>78</v>
      </c>
      <c r="C1466">
        <v>2016</v>
      </c>
      <c r="D1466" s="3" t="s">
        <v>432</v>
      </c>
      <c r="E1466" t="s">
        <v>28</v>
      </c>
    </row>
    <row r="1467" spans="1:5" x14ac:dyDescent="0.25">
      <c r="A1467">
        <v>9011</v>
      </c>
      <c r="B1467" t="s">
        <v>78</v>
      </c>
      <c r="C1467">
        <v>1116</v>
      </c>
      <c r="D1467" s="3" t="s">
        <v>421</v>
      </c>
      <c r="E1467" t="s">
        <v>28</v>
      </c>
    </row>
    <row r="1468" spans="1:5" x14ac:dyDescent="0.25">
      <c r="A1468">
        <v>9013</v>
      </c>
      <c r="B1468" t="s">
        <v>35</v>
      </c>
      <c r="C1468">
        <v>2088</v>
      </c>
      <c r="D1468" s="3" t="s">
        <v>429</v>
      </c>
      <c r="E1468" t="s">
        <v>28</v>
      </c>
    </row>
    <row r="1469" spans="1:5" x14ac:dyDescent="0.25">
      <c r="A1469">
        <v>9013</v>
      </c>
      <c r="B1469" t="s">
        <v>35</v>
      </c>
      <c r="C1469">
        <v>972</v>
      </c>
      <c r="D1469" s="3" t="s">
        <v>421</v>
      </c>
      <c r="E1469" t="s">
        <v>28</v>
      </c>
    </row>
    <row r="1470" spans="1:5" x14ac:dyDescent="0.25">
      <c r="A1470">
        <v>9018</v>
      </c>
      <c r="B1470" t="s">
        <v>36</v>
      </c>
      <c r="C1470">
        <v>828</v>
      </c>
      <c r="D1470" s="3" t="s">
        <v>422</v>
      </c>
      <c r="E1470" t="s">
        <v>28</v>
      </c>
    </row>
    <row r="1471" spans="1:5" x14ac:dyDescent="0.25">
      <c r="A1471">
        <v>9018</v>
      </c>
      <c r="B1471" t="s">
        <v>36</v>
      </c>
      <c r="C1471">
        <v>1656</v>
      </c>
      <c r="D1471" s="3" t="s">
        <v>421</v>
      </c>
      <c r="E1471" t="s">
        <v>28</v>
      </c>
    </row>
    <row r="1472" spans="1:5" x14ac:dyDescent="0.25">
      <c r="A1472">
        <v>9019</v>
      </c>
      <c r="B1472" t="s">
        <v>37</v>
      </c>
      <c r="C1472">
        <v>2016</v>
      </c>
      <c r="D1472" s="3" t="s">
        <v>425</v>
      </c>
      <c r="E1472" t="s">
        <v>28</v>
      </c>
    </row>
    <row r="1473" spans="1:5" x14ac:dyDescent="0.25">
      <c r="A1473">
        <v>9019</v>
      </c>
      <c r="B1473" t="s">
        <v>37</v>
      </c>
      <c r="C1473">
        <v>4680</v>
      </c>
      <c r="D1473" s="3" t="s">
        <v>424</v>
      </c>
      <c r="E1473" t="s">
        <v>28</v>
      </c>
    </row>
    <row r="1474" spans="1:5" x14ac:dyDescent="0.25">
      <c r="A1474">
        <v>9019</v>
      </c>
      <c r="B1474" t="s">
        <v>37</v>
      </c>
      <c r="C1474">
        <v>1584</v>
      </c>
      <c r="D1474" s="3" t="s">
        <v>429</v>
      </c>
      <c r="E1474" t="s">
        <v>28</v>
      </c>
    </row>
    <row r="1475" spans="1:5" x14ac:dyDescent="0.25">
      <c r="A1475">
        <v>9019</v>
      </c>
      <c r="B1475" t="s">
        <v>37</v>
      </c>
      <c r="C1475">
        <v>5436</v>
      </c>
      <c r="D1475" s="3" t="s">
        <v>420</v>
      </c>
      <c r="E1475" t="s">
        <v>28</v>
      </c>
    </row>
    <row r="1476" spans="1:5" x14ac:dyDescent="0.25">
      <c r="A1476">
        <v>9021</v>
      </c>
      <c r="B1476" t="s">
        <v>38</v>
      </c>
      <c r="C1476">
        <v>792</v>
      </c>
      <c r="D1476" s="3" t="s">
        <v>422</v>
      </c>
      <c r="E1476" t="s">
        <v>28</v>
      </c>
    </row>
    <row r="1477" spans="1:5" x14ac:dyDescent="0.25">
      <c r="A1477">
        <v>9024</v>
      </c>
      <c r="B1477" t="s">
        <v>146</v>
      </c>
      <c r="C1477">
        <v>5004</v>
      </c>
      <c r="D1477" s="3" t="s">
        <v>421</v>
      </c>
      <c r="E1477" t="s">
        <v>28</v>
      </c>
    </row>
    <row r="1478" spans="1:5" x14ac:dyDescent="0.25">
      <c r="A1478">
        <v>9025</v>
      </c>
      <c r="B1478" t="s">
        <v>40</v>
      </c>
      <c r="C1478">
        <v>1116</v>
      </c>
      <c r="D1478" s="3" t="s">
        <v>429</v>
      </c>
      <c r="E1478" t="s">
        <v>28</v>
      </c>
    </row>
    <row r="1479" spans="1:5" x14ac:dyDescent="0.25">
      <c r="A1479">
        <v>9026</v>
      </c>
      <c r="B1479" t="s">
        <v>80</v>
      </c>
      <c r="C1479">
        <v>2304</v>
      </c>
      <c r="D1479" s="3" t="s">
        <v>427</v>
      </c>
      <c r="E1479" t="s">
        <v>28</v>
      </c>
    </row>
    <row r="1480" spans="1:5" x14ac:dyDescent="0.25">
      <c r="A1480">
        <v>9026</v>
      </c>
      <c r="B1480" t="s">
        <v>80</v>
      </c>
      <c r="C1480">
        <v>648</v>
      </c>
      <c r="D1480" s="3" t="s">
        <v>431</v>
      </c>
      <c r="E1480" t="s">
        <v>28</v>
      </c>
    </row>
    <row r="1481" spans="1:5" x14ac:dyDescent="0.25">
      <c r="A1481">
        <v>9026</v>
      </c>
      <c r="B1481" t="s">
        <v>80</v>
      </c>
      <c r="C1481">
        <v>1656</v>
      </c>
      <c r="D1481" s="3" t="s">
        <v>428</v>
      </c>
      <c r="E1481" t="s">
        <v>28</v>
      </c>
    </row>
    <row r="1482" spans="1:5" x14ac:dyDescent="0.25">
      <c r="A1482">
        <v>9029</v>
      </c>
      <c r="B1482" t="s">
        <v>41</v>
      </c>
      <c r="C1482">
        <v>720</v>
      </c>
      <c r="D1482" s="3" t="s">
        <v>426</v>
      </c>
      <c r="E1482" t="s">
        <v>28</v>
      </c>
    </row>
    <row r="1483" spans="1:5" x14ac:dyDescent="0.25">
      <c r="A1483">
        <v>9029</v>
      </c>
      <c r="B1483" t="s">
        <v>41</v>
      </c>
      <c r="C1483">
        <v>792</v>
      </c>
      <c r="D1483" s="3" t="s">
        <v>427</v>
      </c>
      <c r="E1483" t="s">
        <v>28</v>
      </c>
    </row>
    <row r="1484" spans="1:5" x14ac:dyDescent="0.25">
      <c r="A1484">
        <v>9029</v>
      </c>
      <c r="B1484" t="s">
        <v>41</v>
      </c>
      <c r="C1484">
        <v>1260</v>
      </c>
      <c r="D1484" s="3" t="s">
        <v>429</v>
      </c>
      <c r="E1484" t="s">
        <v>28</v>
      </c>
    </row>
    <row r="1485" spans="1:5" x14ac:dyDescent="0.25">
      <c r="A1485">
        <v>9029</v>
      </c>
      <c r="B1485" t="s">
        <v>41</v>
      </c>
      <c r="C1485">
        <v>576</v>
      </c>
      <c r="D1485" s="3" t="s">
        <v>423</v>
      </c>
      <c r="E1485" t="s">
        <v>28</v>
      </c>
    </row>
    <row r="1486" spans="1:5" x14ac:dyDescent="0.25">
      <c r="A1486">
        <v>9033</v>
      </c>
      <c r="B1486" t="s">
        <v>81</v>
      </c>
      <c r="C1486">
        <v>360</v>
      </c>
      <c r="D1486" s="3" t="s">
        <v>432</v>
      </c>
      <c r="E1486" t="s">
        <v>15</v>
      </c>
    </row>
    <row r="1487" spans="1:5" x14ac:dyDescent="0.25">
      <c r="A1487">
        <v>9033</v>
      </c>
      <c r="B1487" t="s">
        <v>81</v>
      </c>
      <c r="C1487">
        <v>1480</v>
      </c>
      <c r="D1487" s="3" t="s">
        <v>423</v>
      </c>
      <c r="E1487" t="s">
        <v>15</v>
      </c>
    </row>
    <row r="1488" spans="1:5" x14ac:dyDescent="0.25">
      <c r="A1488">
        <v>9041</v>
      </c>
      <c r="B1488" t="s">
        <v>272</v>
      </c>
      <c r="C1488">
        <v>268</v>
      </c>
      <c r="D1488" s="3" t="s">
        <v>430</v>
      </c>
      <c r="E1488" t="s">
        <v>174</v>
      </c>
    </row>
    <row r="1489" spans="1:5" x14ac:dyDescent="0.25">
      <c r="A1489">
        <v>9044</v>
      </c>
      <c r="B1489" t="s">
        <v>296</v>
      </c>
      <c r="C1489">
        <v>276</v>
      </c>
      <c r="D1489" s="3" t="s">
        <v>430</v>
      </c>
      <c r="E1489" t="s">
        <v>174</v>
      </c>
    </row>
    <row r="1490" spans="1:5" x14ac:dyDescent="0.25">
      <c r="A1490">
        <v>9053</v>
      </c>
      <c r="B1490" t="s">
        <v>44</v>
      </c>
      <c r="C1490">
        <v>1080</v>
      </c>
      <c r="D1490" s="3" t="s">
        <v>419</v>
      </c>
      <c r="E1490" t="s">
        <v>45</v>
      </c>
    </row>
    <row r="1491" spans="1:5" x14ac:dyDescent="0.25">
      <c r="A1491">
        <v>9053</v>
      </c>
      <c r="B1491" t="s">
        <v>44</v>
      </c>
      <c r="C1491">
        <v>510</v>
      </c>
      <c r="D1491" s="3" t="s">
        <v>429</v>
      </c>
      <c r="E1491" t="s">
        <v>45</v>
      </c>
    </row>
    <row r="1492" spans="1:5" x14ac:dyDescent="0.25">
      <c r="A1492">
        <v>9053</v>
      </c>
      <c r="B1492" t="s">
        <v>44</v>
      </c>
      <c r="C1492">
        <v>280</v>
      </c>
      <c r="D1492" s="3" t="s">
        <v>423</v>
      </c>
      <c r="E1492" t="s">
        <v>45</v>
      </c>
    </row>
    <row r="1493" spans="1:5" x14ac:dyDescent="0.25">
      <c r="A1493">
        <v>9053</v>
      </c>
      <c r="B1493" t="s">
        <v>44</v>
      </c>
      <c r="C1493">
        <v>1340</v>
      </c>
      <c r="D1493" s="3" t="s">
        <v>421</v>
      </c>
      <c r="E1493" t="s">
        <v>45</v>
      </c>
    </row>
    <row r="1494" spans="1:5" x14ac:dyDescent="0.25">
      <c r="A1494">
        <v>9188</v>
      </c>
      <c r="B1494" t="s">
        <v>48</v>
      </c>
      <c r="C1494">
        <v>2560</v>
      </c>
      <c r="D1494" s="3" t="s">
        <v>431</v>
      </c>
      <c r="E1494" t="s">
        <v>15</v>
      </c>
    </row>
    <row r="1495" spans="1:5" x14ac:dyDescent="0.25">
      <c r="A1495">
        <v>9188</v>
      </c>
      <c r="B1495" t="s">
        <v>48</v>
      </c>
      <c r="C1495">
        <v>1370</v>
      </c>
      <c r="D1495" s="3" t="s">
        <v>429</v>
      </c>
      <c r="E1495" t="s">
        <v>15</v>
      </c>
    </row>
    <row r="1496" spans="1:5" x14ac:dyDescent="0.25">
      <c r="A1496">
        <v>9188</v>
      </c>
      <c r="B1496" t="s">
        <v>48</v>
      </c>
      <c r="C1496">
        <v>4890</v>
      </c>
      <c r="D1496" s="3" t="s">
        <v>430</v>
      </c>
      <c r="E1496" t="s">
        <v>15</v>
      </c>
    </row>
    <row r="1497" spans="1:5" x14ac:dyDescent="0.25">
      <c r="A1497">
        <v>9188</v>
      </c>
      <c r="B1497" t="s">
        <v>48</v>
      </c>
      <c r="C1497">
        <v>4480</v>
      </c>
      <c r="D1497" s="3" t="s">
        <v>432</v>
      </c>
      <c r="E1497" t="s">
        <v>15</v>
      </c>
    </row>
    <row r="1498" spans="1:5" x14ac:dyDescent="0.25">
      <c r="A1498">
        <v>9211</v>
      </c>
      <c r="B1498" t="s">
        <v>51</v>
      </c>
      <c r="C1498">
        <v>270</v>
      </c>
      <c r="D1498" s="3" t="s">
        <v>426</v>
      </c>
      <c r="E1498" t="s">
        <v>28</v>
      </c>
    </row>
    <row r="1499" spans="1:5" x14ac:dyDescent="0.25">
      <c r="A1499">
        <v>9211</v>
      </c>
      <c r="B1499" t="s">
        <v>51</v>
      </c>
      <c r="C1499">
        <v>1836</v>
      </c>
      <c r="D1499" s="3" t="s">
        <v>426</v>
      </c>
      <c r="E1499" t="s">
        <v>28</v>
      </c>
    </row>
    <row r="1500" spans="1:5" x14ac:dyDescent="0.25">
      <c r="A1500">
        <v>9211</v>
      </c>
      <c r="B1500" t="s">
        <v>51</v>
      </c>
      <c r="C1500">
        <v>2214</v>
      </c>
      <c r="D1500" s="3" t="s">
        <v>427</v>
      </c>
      <c r="E1500" t="s">
        <v>28</v>
      </c>
    </row>
    <row r="1501" spans="1:5" x14ac:dyDescent="0.25">
      <c r="A1501">
        <v>9211</v>
      </c>
      <c r="B1501" t="s">
        <v>51</v>
      </c>
      <c r="C1501">
        <v>2214</v>
      </c>
      <c r="D1501" s="3" t="s">
        <v>419</v>
      </c>
      <c r="E1501" t="s">
        <v>28</v>
      </c>
    </row>
    <row r="1502" spans="1:5" x14ac:dyDescent="0.25">
      <c r="A1502">
        <v>9211</v>
      </c>
      <c r="B1502" t="s">
        <v>51</v>
      </c>
      <c r="C1502">
        <v>2106</v>
      </c>
      <c r="D1502" s="3" t="s">
        <v>431</v>
      </c>
      <c r="E1502" t="s">
        <v>28</v>
      </c>
    </row>
    <row r="1503" spans="1:5" x14ac:dyDescent="0.25">
      <c r="A1503">
        <v>9240</v>
      </c>
      <c r="B1503" t="s">
        <v>54</v>
      </c>
      <c r="C1503">
        <v>576</v>
      </c>
      <c r="D1503" s="3" t="s">
        <v>431</v>
      </c>
      <c r="E1503" t="s">
        <v>15</v>
      </c>
    </row>
    <row r="1504" spans="1:5" x14ac:dyDescent="0.25">
      <c r="A1504">
        <v>9284</v>
      </c>
      <c r="B1504" t="s">
        <v>97</v>
      </c>
      <c r="C1504">
        <v>504</v>
      </c>
      <c r="D1504" s="3" t="s">
        <v>426</v>
      </c>
      <c r="E1504" t="s">
        <v>15</v>
      </c>
    </row>
    <row r="1505" spans="4:5" x14ac:dyDescent="0.25">
      <c r="D1505" s="3"/>
      <c r="E1505" t="s">
        <v>149</v>
      </c>
    </row>
    <row r="1506" spans="4:5" x14ac:dyDescent="0.25">
      <c r="D1506" s="3"/>
      <c r="E1506" t="s">
        <v>149</v>
      </c>
    </row>
    <row r="1507" spans="4:5" x14ac:dyDescent="0.25">
      <c r="D1507" s="3"/>
      <c r="E1507" t="s">
        <v>149</v>
      </c>
    </row>
    <row r="1508" spans="4:5" x14ac:dyDescent="0.25">
      <c r="D1508" s="3"/>
      <c r="E1508" t="s">
        <v>149</v>
      </c>
    </row>
    <row r="1509" spans="4:5" x14ac:dyDescent="0.25">
      <c r="D1509" s="3"/>
      <c r="E1509" t="s">
        <v>149</v>
      </c>
    </row>
    <row r="1510" spans="4:5" x14ac:dyDescent="0.25">
      <c r="D1510" s="3"/>
      <c r="E1510" t="s">
        <v>149</v>
      </c>
    </row>
    <row r="1511" spans="4:5" x14ac:dyDescent="0.25">
      <c r="D1511" s="3"/>
      <c r="E1511" t="s">
        <v>149</v>
      </c>
    </row>
    <row r="1512" spans="4:5" x14ac:dyDescent="0.25">
      <c r="D1512" s="3"/>
      <c r="E1512" t="s">
        <v>149</v>
      </c>
    </row>
    <row r="1513" spans="4:5" x14ac:dyDescent="0.25">
      <c r="D1513" s="3"/>
      <c r="E1513" t="s">
        <v>149</v>
      </c>
    </row>
    <row r="1514" spans="4:5" x14ac:dyDescent="0.25">
      <c r="D1514" s="3"/>
      <c r="E1514" t="s">
        <v>149</v>
      </c>
    </row>
    <row r="1515" spans="4:5" x14ac:dyDescent="0.25">
      <c r="D1515" s="3"/>
      <c r="E1515" t="s">
        <v>149</v>
      </c>
    </row>
    <row r="1516" spans="4:5" x14ac:dyDescent="0.25">
      <c r="D1516" s="3"/>
      <c r="E1516" t="s">
        <v>149</v>
      </c>
    </row>
    <row r="1517" spans="4:5" x14ac:dyDescent="0.25">
      <c r="D1517" s="3"/>
      <c r="E1517" t="s">
        <v>149</v>
      </c>
    </row>
    <row r="1518" spans="4:5" x14ac:dyDescent="0.25">
      <c r="D1518" s="3"/>
      <c r="E1518" t="s">
        <v>149</v>
      </c>
    </row>
    <row r="1519" spans="4:5" x14ac:dyDescent="0.25">
      <c r="D1519" s="3"/>
      <c r="E1519" t="s">
        <v>149</v>
      </c>
    </row>
    <row r="1520" spans="4:5" x14ac:dyDescent="0.25">
      <c r="D1520" s="3"/>
      <c r="E1520" t="s">
        <v>149</v>
      </c>
    </row>
    <row r="1521" spans="4:5" x14ac:dyDescent="0.25">
      <c r="D1521" s="3"/>
      <c r="E1521" t="s">
        <v>149</v>
      </c>
    </row>
    <row r="1522" spans="4:5" x14ac:dyDescent="0.25">
      <c r="D1522" s="3"/>
      <c r="E1522" t="s">
        <v>149</v>
      </c>
    </row>
    <row r="1523" spans="4:5" x14ac:dyDescent="0.25">
      <c r="D1523" s="3"/>
      <c r="E1523" t="s">
        <v>149</v>
      </c>
    </row>
    <row r="1524" spans="4:5" x14ac:dyDescent="0.25">
      <c r="D1524" s="3"/>
      <c r="E1524" t="s">
        <v>149</v>
      </c>
    </row>
    <row r="1525" spans="4:5" x14ac:dyDescent="0.25">
      <c r="D1525" s="3"/>
      <c r="E1525" t="s">
        <v>149</v>
      </c>
    </row>
    <row r="1526" spans="4:5" x14ac:dyDescent="0.25">
      <c r="D1526" s="3"/>
      <c r="E1526" t="s">
        <v>149</v>
      </c>
    </row>
    <row r="1527" spans="4:5" x14ac:dyDescent="0.25">
      <c r="D1527" s="3"/>
      <c r="E1527" t="s">
        <v>149</v>
      </c>
    </row>
    <row r="1528" spans="4:5" x14ac:dyDescent="0.25">
      <c r="D1528" s="3"/>
      <c r="E1528" t="s">
        <v>149</v>
      </c>
    </row>
    <row r="1529" spans="4:5" x14ac:dyDescent="0.25">
      <c r="D1529" s="3"/>
      <c r="E1529" t="s">
        <v>149</v>
      </c>
    </row>
    <row r="1530" spans="4:5" x14ac:dyDescent="0.25">
      <c r="D1530" s="3"/>
      <c r="E1530" t="s">
        <v>149</v>
      </c>
    </row>
    <row r="1531" spans="4:5" x14ac:dyDescent="0.25">
      <c r="D1531" s="3"/>
      <c r="E1531" t="s">
        <v>149</v>
      </c>
    </row>
    <row r="1532" spans="4:5" x14ac:dyDescent="0.25">
      <c r="D1532" s="3"/>
      <c r="E1532" t="s">
        <v>149</v>
      </c>
    </row>
    <row r="1533" spans="4:5" x14ac:dyDescent="0.25">
      <c r="D1533" s="3"/>
      <c r="E1533" t="s">
        <v>149</v>
      </c>
    </row>
    <row r="1534" spans="4:5" x14ac:dyDescent="0.25">
      <c r="D1534" s="3"/>
      <c r="E1534" t="s">
        <v>149</v>
      </c>
    </row>
    <row r="1535" spans="4:5" x14ac:dyDescent="0.25">
      <c r="D1535" s="3"/>
      <c r="E1535" t="s">
        <v>149</v>
      </c>
    </row>
    <row r="1536" spans="4:5" x14ac:dyDescent="0.25">
      <c r="D1536" s="3"/>
      <c r="E1536" t="s">
        <v>149</v>
      </c>
    </row>
    <row r="1537" spans="4:5" x14ac:dyDescent="0.25">
      <c r="D1537" s="3"/>
      <c r="E1537" t="s">
        <v>149</v>
      </c>
    </row>
    <row r="1538" spans="4:5" x14ac:dyDescent="0.25">
      <c r="D1538" s="3"/>
      <c r="E1538" t="s">
        <v>149</v>
      </c>
    </row>
    <row r="1539" spans="4:5" x14ac:dyDescent="0.25">
      <c r="D1539" s="3"/>
      <c r="E1539" t="s">
        <v>149</v>
      </c>
    </row>
    <row r="1540" spans="4:5" x14ac:dyDescent="0.25">
      <c r="D1540" s="3"/>
      <c r="E1540" t="s">
        <v>149</v>
      </c>
    </row>
    <row r="1541" spans="4:5" x14ac:dyDescent="0.25">
      <c r="D1541" s="3"/>
      <c r="E1541" t="s">
        <v>149</v>
      </c>
    </row>
    <row r="1542" spans="4:5" x14ac:dyDescent="0.25">
      <c r="D1542" s="3"/>
      <c r="E1542" t="s">
        <v>149</v>
      </c>
    </row>
    <row r="1543" spans="4:5" x14ac:dyDescent="0.25">
      <c r="D1543" s="3"/>
      <c r="E1543" t="s">
        <v>149</v>
      </c>
    </row>
    <row r="1544" spans="4:5" x14ac:dyDescent="0.25">
      <c r="D1544" s="3"/>
      <c r="E1544" t="s">
        <v>149</v>
      </c>
    </row>
    <row r="1545" spans="4:5" x14ac:dyDescent="0.25">
      <c r="D1545" s="3"/>
      <c r="E1545" t="s">
        <v>149</v>
      </c>
    </row>
    <row r="1546" spans="4:5" x14ac:dyDescent="0.25">
      <c r="D1546" s="3"/>
      <c r="E1546" t="s">
        <v>149</v>
      </c>
    </row>
    <row r="1547" spans="4:5" x14ac:dyDescent="0.25">
      <c r="D1547" s="3"/>
      <c r="E1547" t="s">
        <v>149</v>
      </c>
    </row>
    <row r="1548" spans="4:5" x14ac:dyDescent="0.25">
      <c r="D1548" s="3"/>
      <c r="E1548" t="s">
        <v>149</v>
      </c>
    </row>
    <row r="1549" spans="4:5" x14ac:dyDescent="0.25">
      <c r="D1549" s="3"/>
      <c r="E1549" t="s">
        <v>149</v>
      </c>
    </row>
    <row r="1550" spans="4:5" x14ac:dyDescent="0.25">
      <c r="D1550" s="3"/>
      <c r="E1550" t="s">
        <v>149</v>
      </c>
    </row>
    <row r="1551" spans="4:5" x14ac:dyDescent="0.25">
      <c r="D1551" s="3"/>
      <c r="E1551" t="s">
        <v>149</v>
      </c>
    </row>
    <row r="1552" spans="4:5" x14ac:dyDescent="0.25">
      <c r="D1552" s="3"/>
      <c r="E1552" t="s">
        <v>149</v>
      </c>
    </row>
    <row r="1553" spans="4:5" x14ac:dyDescent="0.25">
      <c r="D1553" s="3"/>
      <c r="E1553" t="s">
        <v>149</v>
      </c>
    </row>
    <row r="1554" spans="4:5" x14ac:dyDescent="0.25">
      <c r="D1554" s="3"/>
      <c r="E1554" t="s">
        <v>149</v>
      </c>
    </row>
    <row r="1555" spans="4:5" x14ac:dyDescent="0.25">
      <c r="D1555" s="3"/>
      <c r="E1555" t="s">
        <v>149</v>
      </c>
    </row>
    <row r="1556" spans="4:5" x14ac:dyDescent="0.25">
      <c r="D1556" s="3"/>
      <c r="E1556" t="s">
        <v>149</v>
      </c>
    </row>
    <row r="1557" spans="4:5" x14ac:dyDescent="0.25">
      <c r="D1557" s="3"/>
      <c r="E1557" t="s">
        <v>149</v>
      </c>
    </row>
    <row r="1558" spans="4:5" x14ac:dyDescent="0.25">
      <c r="D1558" s="3"/>
      <c r="E1558" t="s">
        <v>149</v>
      </c>
    </row>
    <row r="1559" spans="4:5" x14ac:dyDescent="0.25">
      <c r="D1559" s="3"/>
      <c r="E1559" t="s">
        <v>149</v>
      </c>
    </row>
    <row r="1560" spans="4:5" x14ac:dyDescent="0.25">
      <c r="D1560" s="3"/>
      <c r="E1560" t="s">
        <v>149</v>
      </c>
    </row>
    <row r="1561" spans="4:5" x14ac:dyDescent="0.25">
      <c r="D1561" s="3"/>
      <c r="E1561" t="s">
        <v>149</v>
      </c>
    </row>
    <row r="1562" spans="4:5" x14ac:dyDescent="0.25">
      <c r="D1562" s="3"/>
      <c r="E1562" t="s">
        <v>149</v>
      </c>
    </row>
    <row r="1563" spans="4:5" x14ac:dyDescent="0.25">
      <c r="D1563" s="3"/>
      <c r="E1563" t="s">
        <v>149</v>
      </c>
    </row>
    <row r="1564" spans="4:5" x14ac:dyDescent="0.25">
      <c r="D1564" s="3"/>
      <c r="E1564" t="s">
        <v>149</v>
      </c>
    </row>
    <row r="1565" spans="4:5" x14ac:dyDescent="0.25">
      <c r="D1565" s="3"/>
      <c r="E1565" t="s">
        <v>149</v>
      </c>
    </row>
    <row r="1566" spans="4:5" x14ac:dyDescent="0.25">
      <c r="D1566" s="3"/>
      <c r="E1566" t="s">
        <v>149</v>
      </c>
    </row>
    <row r="1567" spans="4:5" x14ac:dyDescent="0.25">
      <c r="D1567" s="3"/>
      <c r="E1567" t="s">
        <v>149</v>
      </c>
    </row>
    <row r="1568" spans="4:5" x14ac:dyDescent="0.25">
      <c r="D1568" s="3"/>
      <c r="E1568" t="s">
        <v>149</v>
      </c>
    </row>
    <row r="1569" spans="4:5" x14ac:dyDescent="0.25">
      <c r="D1569" s="3"/>
      <c r="E1569" t="s">
        <v>149</v>
      </c>
    </row>
    <row r="1570" spans="4:5" x14ac:dyDescent="0.25">
      <c r="D1570" s="3"/>
      <c r="E1570" t="s">
        <v>149</v>
      </c>
    </row>
    <row r="1571" spans="4:5" x14ac:dyDescent="0.25">
      <c r="D1571" s="3"/>
      <c r="E1571" t="s">
        <v>149</v>
      </c>
    </row>
    <row r="1572" spans="4:5" x14ac:dyDescent="0.25">
      <c r="D1572" s="3"/>
      <c r="E1572" t="s">
        <v>149</v>
      </c>
    </row>
    <row r="1573" spans="4:5" x14ac:dyDescent="0.25">
      <c r="D1573" s="3"/>
      <c r="E1573" t="s">
        <v>149</v>
      </c>
    </row>
    <row r="1574" spans="4:5" x14ac:dyDescent="0.25">
      <c r="D1574" s="3"/>
      <c r="E1574" t="s">
        <v>149</v>
      </c>
    </row>
    <row r="1575" spans="4:5" x14ac:dyDescent="0.25">
      <c r="D1575" s="3"/>
      <c r="E1575" t="s">
        <v>149</v>
      </c>
    </row>
    <row r="1576" spans="4:5" x14ac:dyDescent="0.25">
      <c r="D1576" s="3"/>
      <c r="E1576" t="s">
        <v>149</v>
      </c>
    </row>
    <row r="1577" spans="4:5" x14ac:dyDescent="0.25">
      <c r="D1577" s="3"/>
      <c r="E1577" t="s">
        <v>149</v>
      </c>
    </row>
    <row r="1578" spans="4:5" x14ac:dyDescent="0.25">
      <c r="D1578" s="3"/>
      <c r="E1578" t="s">
        <v>149</v>
      </c>
    </row>
    <row r="1579" spans="4:5" x14ac:dyDescent="0.25">
      <c r="D1579" s="3"/>
      <c r="E1579" t="s">
        <v>149</v>
      </c>
    </row>
    <row r="1580" spans="4:5" x14ac:dyDescent="0.25">
      <c r="D1580" s="3"/>
      <c r="E1580" t="s">
        <v>149</v>
      </c>
    </row>
    <row r="1581" spans="4:5" x14ac:dyDescent="0.25">
      <c r="D1581" s="3"/>
      <c r="E1581" t="s">
        <v>149</v>
      </c>
    </row>
    <row r="1582" spans="4:5" x14ac:dyDescent="0.25">
      <c r="D1582" s="3"/>
      <c r="E1582" t="s">
        <v>149</v>
      </c>
    </row>
    <row r="1583" spans="4:5" x14ac:dyDescent="0.25">
      <c r="D1583" s="3"/>
      <c r="E1583" t="s">
        <v>149</v>
      </c>
    </row>
    <row r="1584" spans="4:5" x14ac:dyDescent="0.25">
      <c r="D1584" s="3"/>
      <c r="E1584" t="s">
        <v>149</v>
      </c>
    </row>
    <row r="1585" spans="4:5" x14ac:dyDescent="0.25">
      <c r="D1585" s="3"/>
      <c r="E1585" t="s">
        <v>149</v>
      </c>
    </row>
    <row r="1586" spans="4:5" x14ac:dyDescent="0.25">
      <c r="D1586" s="3"/>
      <c r="E1586" t="s">
        <v>149</v>
      </c>
    </row>
    <row r="1587" spans="4:5" x14ac:dyDescent="0.25">
      <c r="D1587" s="3"/>
      <c r="E1587" t="s">
        <v>149</v>
      </c>
    </row>
    <row r="1588" spans="4:5" x14ac:dyDescent="0.25">
      <c r="D1588" s="3"/>
      <c r="E1588" t="s">
        <v>149</v>
      </c>
    </row>
    <row r="1589" spans="4:5" x14ac:dyDescent="0.25">
      <c r="D1589" s="3"/>
      <c r="E1589" t="s">
        <v>149</v>
      </c>
    </row>
    <row r="1590" spans="4:5" x14ac:dyDescent="0.25">
      <c r="D1590" s="3"/>
      <c r="E1590" t="s">
        <v>149</v>
      </c>
    </row>
    <row r="1591" spans="4:5" x14ac:dyDescent="0.25">
      <c r="D1591" s="3"/>
      <c r="E1591" t="s">
        <v>149</v>
      </c>
    </row>
    <row r="1592" spans="4:5" x14ac:dyDescent="0.25">
      <c r="D1592" s="3"/>
      <c r="E1592" t="s">
        <v>149</v>
      </c>
    </row>
    <row r="1593" spans="4:5" x14ac:dyDescent="0.25">
      <c r="D1593" s="3"/>
      <c r="E1593" t="s">
        <v>149</v>
      </c>
    </row>
    <row r="1594" spans="4:5" x14ac:dyDescent="0.25">
      <c r="D1594" s="3"/>
      <c r="E1594" t="s">
        <v>149</v>
      </c>
    </row>
    <row r="1595" spans="4:5" x14ac:dyDescent="0.25">
      <c r="D1595" s="3"/>
      <c r="E1595" t="s">
        <v>149</v>
      </c>
    </row>
    <row r="1596" spans="4:5" x14ac:dyDescent="0.25">
      <c r="D1596" s="3"/>
      <c r="E1596" t="s">
        <v>149</v>
      </c>
    </row>
    <row r="1597" spans="4:5" x14ac:dyDescent="0.25">
      <c r="D1597" s="3"/>
      <c r="E1597" t="s">
        <v>149</v>
      </c>
    </row>
    <row r="1598" spans="4:5" x14ac:dyDescent="0.25">
      <c r="D1598" s="3"/>
      <c r="E1598" t="s">
        <v>149</v>
      </c>
    </row>
    <row r="1599" spans="4:5" x14ac:dyDescent="0.25">
      <c r="D1599" s="3"/>
      <c r="E1599" t="s">
        <v>149</v>
      </c>
    </row>
    <row r="1600" spans="4:5" x14ac:dyDescent="0.25">
      <c r="D1600" s="3"/>
      <c r="E1600" t="s">
        <v>149</v>
      </c>
    </row>
    <row r="1601" spans="4:5" x14ac:dyDescent="0.25">
      <c r="D1601" s="3"/>
      <c r="E1601" t="s">
        <v>149</v>
      </c>
    </row>
    <row r="1602" spans="4:5" x14ac:dyDescent="0.25">
      <c r="D1602" s="3"/>
      <c r="E1602" t="s">
        <v>149</v>
      </c>
    </row>
    <row r="1603" spans="4:5" x14ac:dyDescent="0.25">
      <c r="D1603" s="3"/>
      <c r="E1603" t="s">
        <v>149</v>
      </c>
    </row>
    <row r="1604" spans="4:5" x14ac:dyDescent="0.25">
      <c r="D1604" s="3"/>
      <c r="E1604" t="s">
        <v>149</v>
      </c>
    </row>
    <row r="1605" spans="4:5" x14ac:dyDescent="0.25">
      <c r="D1605" s="3"/>
      <c r="E1605" t="s">
        <v>149</v>
      </c>
    </row>
    <row r="1606" spans="4:5" x14ac:dyDescent="0.25">
      <c r="D1606" s="3"/>
      <c r="E1606" t="s">
        <v>149</v>
      </c>
    </row>
    <row r="1607" spans="4:5" x14ac:dyDescent="0.25">
      <c r="D1607" s="3"/>
      <c r="E1607" t="s">
        <v>149</v>
      </c>
    </row>
    <row r="1608" spans="4:5" x14ac:dyDescent="0.25">
      <c r="D1608" s="3"/>
      <c r="E1608" t="s">
        <v>149</v>
      </c>
    </row>
    <row r="1609" spans="4:5" x14ac:dyDescent="0.25">
      <c r="D1609" s="3"/>
      <c r="E1609" t="s">
        <v>149</v>
      </c>
    </row>
    <row r="1610" spans="4:5" x14ac:dyDescent="0.25">
      <c r="D1610" s="3"/>
      <c r="E1610" t="s">
        <v>149</v>
      </c>
    </row>
    <row r="1611" spans="4:5" x14ac:dyDescent="0.25">
      <c r="D1611" s="3"/>
      <c r="E1611" t="s">
        <v>149</v>
      </c>
    </row>
    <row r="1612" spans="4:5" x14ac:dyDescent="0.25">
      <c r="D1612" s="3"/>
      <c r="E1612" t="s">
        <v>149</v>
      </c>
    </row>
    <row r="1613" spans="4:5" x14ac:dyDescent="0.25">
      <c r="D1613" s="3"/>
      <c r="E1613" t="s">
        <v>149</v>
      </c>
    </row>
    <row r="1614" spans="4:5" x14ac:dyDescent="0.25">
      <c r="D1614" s="3"/>
      <c r="E1614" t="s">
        <v>149</v>
      </c>
    </row>
    <row r="1615" spans="4:5" x14ac:dyDescent="0.25">
      <c r="D1615" s="3"/>
      <c r="E1615" t="s">
        <v>149</v>
      </c>
    </row>
    <row r="1616" spans="4:5" x14ac:dyDescent="0.25">
      <c r="D1616" s="3"/>
      <c r="E1616" t="s">
        <v>149</v>
      </c>
    </row>
    <row r="1617" spans="4:5" x14ac:dyDescent="0.25">
      <c r="D1617" s="3"/>
      <c r="E1617" t="s">
        <v>149</v>
      </c>
    </row>
    <row r="1618" spans="4:5" x14ac:dyDescent="0.25">
      <c r="D1618" s="3"/>
      <c r="E1618" t="s">
        <v>149</v>
      </c>
    </row>
    <row r="1619" spans="4:5" x14ac:dyDescent="0.25">
      <c r="D1619" s="3"/>
      <c r="E1619" t="s">
        <v>149</v>
      </c>
    </row>
    <row r="1620" spans="4:5" x14ac:dyDescent="0.25">
      <c r="D1620" s="3"/>
      <c r="E1620" t="s">
        <v>149</v>
      </c>
    </row>
    <row r="1621" spans="4:5" x14ac:dyDescent="0.25">
      <c r="D1621" s="3"/>
      <c r="E1621" t="s">
        <v>149</v>
      </c>
    </row>
    <row r="1622" spans="4:5" x14ac:dyDescent="0.25">
      <c r="D1622" s="3"/>
      <c r="E1622" t="s">
        <v>149</v>
      </c>
    </row>
    <row r="1623" spans="4:5" x14ac:dyDescent="0.25">
      <c r="D1623" s="3"/>
      <c r="E1623" t="s">
        <v>149</v>
      </c>
    </row>
    <row r="1624" spans="4:5" x14ac:dyDescent="0.25">
      <c r="D1624" s="3"/>
      <c r="E1624" t="s">
        <v>149</v>
      </c>
    </row>
    <row r="1625" spans="4:5" x14ac:dyDescent="0.25">
      <c r="D1625" s="3"/>
      <c r="E1625" t="s">
        <v>149</v>
      </c>
    </row>
    <row r="1626" spans="4:5" x14ac:dyDescent="0.25">
      <c r="D1626" s="3"/>
      <c r="E1626" t="s">
        <v>149</v>
      </c>
    </row>
    <row r="1627" spans="4:5" x14ac:dyDescent="0.25">
      <c r="D1627" s="3"/>
      <c r="E1627" t="s">
        <v>149</v>
      </c>
    </row>
    <row r="1628" spans="4:5" x14ac:dyDescent="0.25">
      <c r="D1628" s="3"/>
      <c r="E1628" t="s">
        <v>149</v>
      </c>
    </row>
    <row r="1629" spans="4:5" x14ac:dyDescent="0.25">
      <c r="D1629" s="3"/>
      <c r="E1629" t="s">
        <v>149</v>
      </c>
    </row>
    <row r="1630" spans="4:5" x14ac:dyDescent="0.25">
      <c r="D1630" s="3"/>
      <c r="E1630" t="s">
        <v>149</v>
      </c>
    </row>
    <row r="1631" spans="4:5" x14ac:dyDescent="0.25">
      <c r="D1631" s="3"/>
      <c r="E1631" t="s">
        <v>149</v>
      </c>
    </row>
    <row r="1632" spans="4:5" x14ac:dyDescent="0.25">
      <c r="D1632" s="3"/>
      <c r="E1632" t="s">
        <v>149</v>
      </c>
    </row>
    <row r="1633" spans="4:5" x14ac:dyDescent="0.25">
      <c r="D1633" s="3"/>
      <c r="E1633" t="s">
        <v>149</v>
      </c>
    </row>
    <row r="1634" spans="4:5" x14ac:dyDescent="0.25">
      <c r="D1634" s="3"/>
      <c r="E1634" t="s">
        <v>149</v>
      </c>
    </row>
    <row r="1635" spans="4:5" x14ac:dyDescent="0.25">
      <c r="D1635" s="3"/>
      <c r="E1635" t="s">
        <v>149</v>
      </c>
    </row>
    <row r="1636" spans="4:5" x14ac:dyDescent="0.25">
      <c r="D1636" s="3"/>
      <c r="E1636" t="s">
        <v>149</v>
      </c>
    </row>
    <row r="1637" spans="4:5" x14ac:dyDescent="0.25">
      <c r="D1637" s="3"/>
      <c r="E1637" t="s">
        <v>149</v>
      </c>
    </row>
    <row r="1638" spans="4:5" x14ac:dyDescent="0.25">
      <c r="D1638" s="3"/>
      <c r="E1638" t="s">
        <v>149</v>
      </c>
    </row>
    <row r="1639" spans="4:5" x14ac:dyDescent="0.25">
      <c r="D1639" s="3"/>
      <c r="E1639" t="s">
        <v>149</v>
      </c>
    </row>
    <row r="1640" spans="4:5" x14ac:dyDescent="0.25">
      <c r="D1640" s="3"/>
      <c r="E1640" t="s">
        <v>149</v>
      </c>
    </row>
    <row r="1641" spans="4:5" x14ac:dyDescent="0.25">
      <c r="D1641" s="3"/>
      <c r="E1641" t="s">
        <v>149</v>
      </c>
    </row>
    <row r="1642" spans="4:5" x14ac:dyDescent="0.25">
      <c r="D1642" s="3"/>
      <c r="E1642" t="s">
        <v>149</v>
      </c>
    </row>
    <row r="1643" spans="4:5" x14ac:dyDescent="0.25">
      <c r="D1643" s="3"/>
      <c r="E1643" t="s">
        <v>149</v>
      </c>
    </row>
    <row r="1644" spans="4:5" x14ac:dyDescent="0.25">
      <c r="D1644" s="3"/>
      <c r="E1644" t="s">
        <v>149</v>
      </c>
    </row>
    <row r="1645" spans="4:5" x14ac:dyDescent="0.25">
      <c r="D1645" s="3"/>
      <c r="E1645" t="s">
        <v>149</v>
      </c>
    </row>
    <row r="1646" spans="4:5" x14ac:dyDescent="0.25">
      <c r="D1646" s="3"/>
      <c r="E1646" t="s">
        <v>149</v>
      </c>
    </row>
    <row r="1647" spans="4:5" x14ac:dyDescent="0.25">
      <c r="D1647" s="3"/>
      <c r="E1647" t="s">
        <v>149</v>
      </c>
    </row>
    <row r="1648" spans="4:5" x14ac:dyDescent="0.25">
      <c r="D1648" s="3"/>
      <c r="E1648" t="s">
        <v>149</v>
      </c>
    </row>
    <row r="1649" spans="4:5" x14ac:dyDescent="0.25">
      <c r="D1649" s="3"/>
      <c r="E1649" t="s">
        <v>149</v>
      </c>
    </row>
    <row r="1650" spans="4:5" x14ac:dyDescent="0.25">
      <c r="D1650" s="3"/>
      <c r="E1650" t="s">
        <v>149</v>
      </c>
    </row>
    <row r="1651" spans="4:5" x14ac:dyDescent="0.25">
      <c r="D1651" s="3"/>
      <c r="E1651" t="s">
        <v>149</v>
      </c>
    </row>
    <row r="1652" spans="4:5" x14ac:dyDescent="0.25">
      <c r="D1652" s="3"/>
      <c r="E1652" t="s">
        <v>149</v>
      </c>
    </row>
    <row r="1653" spans="4:5" x14ac:dyDescent="0.25">
      <c r="D1653" s="3"/>
      <c r="E1653" t="s">
        <v>149</v>
      </c>
    </row>
    <row r="1654" spans="4:5" x14ac:dyDescent="0.25">
      <c r="D1654" s="3"/>
      <c r="E1654" t="s">
        <v>149</v>
      </c>
    </row>
    <row r="1655" spans="4:5" x14ac:dyDescent="0.25">
      <c r="D1655" s="3"/>
      <c r="E1655" t="s">
        <v>149</v>
      </c>
    </row>
    <row r="1656" spans="4:5" x14ac:dyDescent="0.25">
      <c r="D1656" s="3"/>
      <c r="E1656" t="s">
        <v>149</v>
      </c>
    </row>
    <row r="1657" spans="4:5" x14ac:dyDescent="0.25">
      <c r="D1657" s="3"/>
      <c r="E1657" t="s">
        <v>149</v>
      </c>
    </row>
    <row r="1658" spans="4:5" x14ac:dyDescent="0.25">
      <c r="D1658" s="3"/>
      <c r="E1658" t="s">
        <v>149</v>
      </c>
    </row>
    <row r="1659" spans="4:5" x14ac:dyDescent="0.25">
      <c r="D1659" s="3"/>
      <c r="E1659" t="s">
        <v>149</v>
      </c>
    </row>
    <row r="1660" spans="4:5" x14ac:dyDescent="0.25">
      <c r="D1660" s="3"/>
      <c r="E1660" t="s">
        <v>149</v>
      </c>
    </row>
    <row r="1661" spans="4:5" x14ac:dyDescent="0.25">
      <c r="D1661" s="3"/>
      <c r="E1661" t="s">
        <v>149</v>
      </c>
    </row>
    <row r="1662" spans="4:5" x14ac:dyDescent="0.25">
      <c r="D1662" s="3"/>
      <c r="E1662" t="s">
        <v>149</v>
      </c>
    </row>
    <row r="1663" spans="4:5" x14ac:dyDescent="0.25">
      <c r="D1663" s="3"/>
      <c r="E1663" t="s">
        <v>149</v>
      </c>
    </row>
    <row r="1664" spans="4:5" x14ac:dyDescent="0.25">
      <c r="D1664" s="3"/>
      <c r="E1664" t="s">
        <v>149</v>
      </c>
    </row>
    <row r="1665" spans="4:5" x14ac:dyDescent="0.25">
      <c r="D1665" s="3"/>
      <c r="E1665" t="s">
        <v>149</v>
      </c>
    </row>
    <row r="1666" spans="4:5" x14ac:dyDescent="0.25">
      <c r="D1666" s="3"/>
      <c r="E1666" t="s">
        <v>149</v>
      </c>
    </row>
    <row r="1667" spans="4:5" x14ac:dyDescent="0.25">
      <c r="D1667" s="3"/>
      <c r="E1667" t="s">
        <v>149</v>
      </c>
    </row>
    <row r="1668" spans="4:5" x14ac:dyDescent="0.25">
      <c r="D1668" s="3"/>
      <c r="E1668" t="s">
        <v>149</v>
      </c>
    </row>
    <row r="1669" spans="4:5" x14ac:dyDescent="0.25">
      <c r="D1669" s="3"/>
      <c r="E1669" t="s">
        <v>149</v>
      </c>
    </row>
    <row r="1670" spans="4:5" x14ac:dyDescent="0.25">
      <c r="D1670" s="3"/>
      <c r="E1670" t="s">
        <v>149</v>
      </c>
    </row>
    <row r="1671" spans="4:5" x14ac:dyDescent="0.25">
      <c r="D1671" s="3"/>
      <c r="E1671" t="s">
        <v>149</v>
      </c>
    </row>
    <row r="1672" spans="4:5" x14ac:dyDescent="0.25">
      <c r="D1672" s="3"/>
      <c r="E1672" t="s">
        <v>149</v>
      </c>
    </row>
    <row r="1673" spans="4:5" x14ac:dyDescent="0.25">
      <c r="D1673" s="3"/>
      <c r="E1673" t="s">
        <v>149</v>
      </c>
    </row>
    <row r="1674" spans="4:5" x14ac:dyDescent="0.25">
      <c r="D1674" s="3"/>
      <c r="E1674" t="s">
        <v>149</v>
      </c>
    </row>
    <row r="1675" spans="4:5" x14ac:dyDescent="0.25">
      <c r="D1675" s="3"/>
      <c r="E1675" t="s">
        <v>149</v>
      </c>
    </row>
    <row r="1676" spans="4:5" x14ac:dyDescent="0.25">
      <c r="D1676" s="3"/>
      <c r="E1676" t="s">
        <v>149</v>
      </c>
    </row>
    <row r="1677" spans="4:5" x14ac:dyDescent="0.25">
      <c r="D1677" s="3"/>
      <c r="E1677" t="s">
        <v>149</v>
      </c>
    </row>
    <row r="1678" spans="4:5" x14ac:dyDescent="0.25">
      <c r="D1678" s="3"/>
      <c r="E1678" t="s">
        <v>149</v>
      </c>
    </row>
    <row r="1679" spans="4:5" x14ac:dyDescent="0.25">
      <c r="D1679" s="3"/>
      <c r="E1679" t="s">
        <v>149</v>
      </c>
    </row>
    <row r="1680" spans="4:5" x14ac:dyDescent="0.25">
      <c r="D1680" s="3"/>
      <c r="E1680" t="s">
        <v>149</v>
      </c>
    </row>
    <row r="1681" spans="4:5" x14ac:dyDescent="0.25">
      <c r="D1681" s="3"/>
      <c r="E1681" t="s">
        <v>149</v>
      </c>
    </row>
    <row r="1682" spans="4:5" x14ac:dyDescent="0.25">
      <c r="D1682" s="3"/>
      <c r="E1682" t="s">
        <v>149</v>
      </c>
    </row>
    <row r="1683" spans="4:5" x14ac:dyDescent="0.25">
      <c r="D1683" s="3"/>
      <c r="E1683" t="s">
        <v>149</v>
      </c>
    </row>
    <row r="1684" spans="4:5" x14ac:dyDescent="0.25">
      <c r="D1684" s="3"/>
      <c r="E1684" t="s">
        <v>149</v>
      </c>
    </row>
    <row r="1685" spans="4:5" x14ac:dyDescent="0.25">
      <c r="D1685" s="3"/>
      <c r="E1685" t="s">
        <v>149</v>
      </c>
    </row>
    <row r="1686" spans="4:5" x14ac:dyDescent="0.25">
      <c r="D1686" s="3"/>
      <c r="E1686" t="s">
        <v>149</v>
      </c>
    </row>
    <row r="1687" spans="4:5" x14ac:dyDescent="0.25">
      <c r="D1687" s="3"/>
      <c r="E1687" t="s">
        <v>149</v>
      </c>
    </row>
    <row r="1688" spans="4:5" x14ac:dyDescent="0.25">
      <c r="D1688" s="3"/>
      <c r="E1688" t="s">
        <v>149</v>
      </c>
    </row>
    <row r="1689" spans="4:5" x14ac:dyDescent="0.25">
      <c r="D1689" s="3"/>
      <c r="E1689" t="s">
        <v>149</v>
      </c>
    </row>
    <row r="1690" spans="4:5" x14ac:dyDescent="0.25">
      <c r="D1690" s="3"/>
      <c r="E1690" t="s">
        <v>149</v>
      </c>
    </row>
    <row r="1691" spans="4:5" x14ac:dyDescent="0.25">
      <c r="D1691" s="3"/>
      <c r="E1691" t="s">
        <v>149</v>
      </c>
    </row>
    <row r="1692" spans="4:5" x14ac:dyDescent="0.25">
      <c r="D1692" s="3"/>
      <c r="E1692" t="s">
        <v>149</v>
      </c>
    </row>
    <row r="1693" spans="4:5" x14ac:dyDescent="0.25">
      <c r="D1693" s="3"/>
      <c r="E1693" t="s">
        <v>149</v>
      </c>
    </row>
    <row r="1694" spans="4:5" x14ac:dyDescent="0.25">
      <c r="D1694" s="3"/>
      <c r="E1694" t="s">
        <v>149</v>
      </c>
    </row>
    <row r="1695" spans="4:5" x14ac:dyDescent="0.25">
      <c r="D1695" s="3"/>
      <c r="E1695" t="s">
        <v>149</v>
      </c>
    </row>
    <row r="1696" spans="4:5" x14ac:dyDescent="0.25">
      <c r="D1696" s="3"/>
      <c r="E1696" t="s">
        <v>149</v>
      </c>
    </row>
    <row r="1697" spans="4:5" x14ac:dyDescent="0.25">
      <c r="D1697" s="3"/>
      <c r="E1697" t="s">
        <v>149</v>
      </c>
    </row>
    <row r="1698" spans="4:5" x14ac:dyDescent="0.25">
      <c r="D1698" s="3"/>
      <c r="E1698" t="s">
        <v>149</v>
      </c>
    </row>
    <row r="1699" spans="4:5" x14ac:dyDescent="0.25">
      <c r="D1699" s="3"/>
      <c r="E1699" t="s">
        <v>149</v>
      </c>
    </row>
    <row r="1700" spans="4:5" x14ac:dyDescent="0.25">
      <c r="D1700" s="3"/>
      <c r="E1700" t="s">
        <v>149</v>
      </c>
    </row>
    <row r="1701" spans="4:5" x14ac:dyDescent="0.25">
      <c r="D1701" s="3"/>
      <c r="E1701" t="s">
        <v>149</v>
      </c>
    </row>
    <row r="1702" spans="4:5" x14ac:dyDescent="0.25">
      <c r="D1702" s="3"/>
      <c r="E1702" t="s">
        <v>149</v>
      </c>
    </row>
    <row r="1703" spans="4:5" x14ac:dyDescent="0.25">
      <c r="D1703" s="3"/>
      <c r="E1703" t="s">
        <v>149</v>
      </c>
    </row>
    <row r="1704" spans="4:5" x14ac:dyDescent="0.25">
      <c r="D1704" s="3"/>
      <c r="E1704" t="s">
        <v>149</v>
      </c>
    </row>
    <row r="1705" spans="4:5" x14ac:dyDescent="0.25">
      <c r="D1705" s="3"/>
      <c r="E1705" t="s">
        <v>149</v>
      </c>
    </row>
    <row r="1706" spans="4:5" x14ac:dyDescent="0.25">
      <c r="D1706" s="3"/>
      <c r="E1706" t="s">
        <v>149</v>
      </c>
    </row>
    <row r="1707" spans="4:5" x14ac:dyDescent="0.25">
      <c r="D1707" s="3"/>
      <c r="E1707" t="s">
        <v>149</v>
      </c>
    </row>
    <row r="1708" spans="4:5" x14ac:dyDescent="0.25">
      <c r="D1708" s="3"/>
      <c r="E1708" t="s">
        <v>149</v>
      </c>
    </row>
    <row r="1709" spans="4:5" x14ac:dyDescent="0.25">
      <c r="D1709" s="3"/>
      <c r="E1709" t="s">
        <v>149</v>
      </c>
    </row>
    <row r="1710" spans="4:5" x14ac:dyDescent="0.25">
      <c r="D1710" s="3"/>
      <c r="E1710" t="s">
        <v>149</v>
      </c>
    </row>
    <row r="1711" spans="4:5" x14ac:dyDescent="0.25">
      <c r="D1711" s="3"/>
      <c r="E1711" t="s">
        <v>149</v>
      </c>
    </row>
    <row r="1712" spans="4:5" x14ac:dyDescent="0.25">
      <c r="D1712" s="3"/>
      <c r="E1712" t="s">
        <v>149</v>
      </c>
    </row>
    <row r="1713" spans="4:5" x14ac:dyDescent="0.25">
      <c r="D1713" s="3"/>
      <c r="E1713" t="s">
        <v>149</v>
      </c>
    </row>
    <row r="1714" spans="4:5" x14ac:dyDescent="0.25">
      <c r="D1714" s="3"/>
      <c r="E1714" t="s">
        <v>149</v>
      </c>
    </row>
    <row r="1715" spans="4:5" x14ac:dyDescent="0.25">
      <c r="D1715" s="3"/>
      <c r="E1715" t="s">
        <v>149</v>
      </c>
    </row>
    <row r="1716" spans="4:5" x14ac:dyDescent="0.25">
      <c r="D1716" s="3"/>
      <c r="E1716" t="s">
        <v>149</v>
      </c>
    </row>
    <row r="1717" spans="4:5" x14ac:dyDescent="0.25">
      <c r="D1717" s="3"/>
      <c r="E1717" t="s">
        <v>149</v>
      </c>
    </row>
    <row r="1718" spans="4:5" x14ac:dyDescent="0.25">
      <c r="D1718" s="3"/>
      <c r="E1718" t="s">
        <v>149</v>
      </c>
    </row>
    <row r="1719" spans="4:5" x14ac:dyDescent="0.25">
      <c r="D1719" s="3"/>
      <c r="E1719" t="s">
        <v>149</v>
      </c>
    </row>
    <row r="1720" spans="4:5" x14ac:dyDescent="0.25">
      <c r="D1720" s="3"/>
      <c r="E1720" t="s">
        <v>149</v>
      </c>
    </row>
    <row r="1721" spans="4:5" x14ac:dyDescent="0.25">
      <c r="D1721" s="3"/>
      <c r="E1721" t="s">
        <v>149</v>
      </c>
    </row>
    <row r="1722" spans="4:5" x14ac:dyDescent="0.25">
      <c r="D1722" s="3"/>
      <c r="E1722" t="s">
        <v>149</v>
      </c>
    </row>
    <row r="1723" spans="4:5" x14ac:dyDescent="0.25">
      <c r="D1723" s="3"/>
      <c r="E1723" t="s">
        <v>149</v>
      </c>
    </row>
    <row r="1724" spans="4:5" x14ac:dyDescent="0.25">
      <c r="D1724" s="3"/>
      <c r="E1724" t="s">
        <v>149</v>
      </c>
    </row>
    <row r="1725" spans="4:5" x14ac:dyDescent="0.25">
      <c r="D1725" s="3"/>
      <c r="E1725" t="s">
        <v>149</v>
      </c>
    </row>
    <row r="1726" spans="4:5" x14ac:dyDescent="0.25">
      <c r="D1726" s="3"/>
      <c r="E1726" t="s">
        <v>149</v>
      </c>
    </row>
    <row r="1727" spans="4:5" x14ac:dyDescent="0.25">
      <c r="D1727" s="3"/>
      <c r="E1727" t="s">
        <v>149</v>
      </c>
    </row>
    <row r="1728" spans="4:5" x14ac:dyDescent="0.25">
      <c r="D1728" s="3"/>
      <c r="E1728" t="s">
        <v>149</v>
      </c>
    </row>
    <row r="1729" spans="4:5" x14ac:dyDescent="0.25">
      <c r="D1729" s="3"/>
      <c r="E1729" t="s">
        <v>149</v>
      </c>
    </row>
    <row r="1730" spans="4:5" x14ac:dyDescent="0.25">
      <c r="D1730" s="3"/>
      <c r="E1730" t="s">
        <v>149</v>
      </c>
    </row>
    <row r="1731" spans="4:5" x14ac:dyDescent="0.25">
      <c r="D1731" s="3"/>
      <c r="E1731" t="s">
        <v>149</v>
      </c>
    </row>
    <row r="1732" spans="4:5" x14ac:dyDescent="0.25">
      <c r="D1732" s="3"/>
      <c r="E1732" t="s">
        <v>149</v>
      </c>
    </row>
    <row r="1733" spans="4:5" x14ac:dyDescent="0.25">
      <c r="D1733" s="3"/>
      <c r="E1733" t="s">
        <v>149</v>
      </c>
    </row>
    <row r="1734" spans="4:5" x14ac:dyDescent="0.25">
      <c r="D1734" s="3"/>
      <c r="E1734" t="s">
        <v>149</v>
      </c>
    </row>
    <row r="1735" spans="4:5" x14ac:dyDescent="0.25">
      <c r="D1735" s="3"/>
      <c r="E1735" t="s">
        <v>149</v>
      </c>
    </row>
    <row r="1736" spans="4:5" x14ac:dyDescent="0.25">
      <c r="E1736" t="s">
        <v>149</v>
      </c>
    </row>
    <row r="1737" spans="4:5" x14ac:dyDescent="0.25">
      <c r="E1737" t="s">
        <v>149</v>
      </c>
    </row>
    <row r="1738" spans="4:5" x14ac:dyDescent="0.25">
      <c r="E1738" t="s">
        <v>149</v>
      </c>
    </row>
    <row r="1739" spans="4:5" x14ac:dyDescent="0.25">
      <c r="E1739" t="s">
        <v>149</v>
      </c>
    </row>
    <row r="1740" spans="4:5" x14ac:dyDescent="0.25">
      <c r="E1740" t="s">
        <v>149</v>
      </c>
    </row>
    <row r="1741" spans="4:5" x14ac:dyDescent="0.25">
      <c r="E1741" t="s">
        <v>149</v>
      </c>
    </row>
    <row r="1742" spans="4:5" x14ac:dyDescent="0.25">
      <c r="E1742" t="s">
        <v>149</v>
      </c>
    </row>
    <row r="1743" spans="4:5" x14ac:dyDescent="0.25">
      <c r="E1743" t="s">
        <v>149</v>
      </c>
    </row>
    <row r="1744" spans="4:5" x14ac:dyDescent="0.25">
      <c r="E1744" t="s">
        <v>149</v>
      </c>
    </row>
    <row r="1745" spans="5:5" x14ac:dyDescent="0.25">
      <c r="E1745" t="s">
        <v>149</v>
      </c>
    </row>
    <row r="1746" spans="5:5" x14ac:dyDescent="0.25">
      <c r="E1746" t="s">
        <v>149</v>
      </c>
    </row>
    <row r="1747" spans="5:5" x14ac:dyDescent="0.25">
      <c r="E1747" t="s">
        <v>149</v>
      </c>
    </row>
    <row r="1748" spans="5:5" x14ac:dyDescent="0.25">
      <c r="E1748" t="s">
        <v>149</v>
      </c>
    </row>
    <row r="1749" spans="5:5" x14ac:dyDescent="0.25">
      <c r="E1749" t="s">
        <v>149</v>
      </c>
    </row>
    <row r="1750" spans="5:5" x14ac:dyDescent="0.25">
      <c r="E1750" t="s">
        <v>149</v>
      </c>
    </row>
    <row r="1751" spans="5:5" x14ac:dyDescent="0.25">
      <c r="E1751" t="s">
        <v>149</v>
      </c>
    </row>
    <row r="1752" spans="5:5" x14ac:dyDescent="0.25">
      <c r="E1752" t="s">
        <v>149</v>
      </c>
    </row>
    <row r="1753" spans="5:5" x14ac:dyDescent="0.25">
      <c r="E1753" t="s">
        <v>149</v>
      </c>
    </row>
    <row r="1754" spans="5:5" x14ac:dyDescent="0.25">
      <c r="E1754" t="s">
        <v>149</v>
      </c>
    </row>
    <row r="1755" spans="5:5" x14ac:dyDescent="0.25">
      <c r="E1755" t="s">
        <v>149</v>
      </c>
    </row>
    <row r="1756" spans="5:5" x14ac:dyDescent="0.25">
      <c r="E1756" t="s">
        <v>149</v>
      </c>
    </row>
    <row r="1757" spans="5:5" x14ac:dyDescent="0.25">
      <c r="E1757" t="s">
        <v>149</v>
      </c>
    </row>
    <row r="1758" spans="5:5" x14ac:dyDescent="0.25">
      <c r="E1758" t="s">
        <v>149</v>
      </c>
    </row>
    <row r="1759" spans="5:5" x14ac:dyDescent="0.25">
      <c r="E1759" t="s">
        <v>149</v>
      </c>
    </row>
    <row r="1760" spans="5:5" x14ac:dyDescent="0.25">
      <c r="E1760" t="s">
        <v>149</v>
      </c>
    </row>
    <row r="1761" spans="5:5" x14ac:dyDescent="0.25">
      <c r="E1761" t="s">
        <v>149</v>
      </c>
    </row>
    <row r="1762" spans="5:5" x14ac:dyDescent="0.25">
      <c r="E1762" t="s">
        <v>149</v>
      </c>
    </row>
    <row r="1763" spans="5:5" x14ac:dyDescent="0.25">
      <c r="E1763" t="s">
        <v>149</v>
      </c>
    </row>
    <row r="1764" spans="5:5" x14ac:dyDescent="0.25">
      <c r="E1764" t="s">
        <v>149</v>
      </c>
    </row>
    <row r="1765" spans="5:5" x14ac:dyDescent="0.25">
      <c r="E1765" t="s">
        <v>149</v>
      </c>
    </row>
    <row r="1766" spans="5:5" x14ac:dyDescent="0.25">
      <c r="E1766" t="s">
        <v>149</v>
      </c>
    </row>
    <row r="1767" spans="5:5" x14ac:dyDescent="0.25">
      <c r="E1767" t="s">
        <v>149</v>
      </c>
    </row>
    <row r="1768" spans="5:5" x14ac:dyDescent="0.25">
      <c r="E1768" t="s">
        <v>149</v>
      </c>
    </row>
    <row r="1769" spans="5:5" x14ac:dyDescent="0.25">
      <c r="E1769" t="s">
        <v>149</v>
      </c>
    </row>
    <row r="1770" spans="5:5" x14ac:dyDescent="0.25">
      <c r="E1770" t="s">
        <v>149</v>
      </c>
    </row>
    <row r="1771" spans="5:5" x14ac:dyDescent="0.25">
      <c r="E1771" t="s">
        <v>149</v>
      </c>
    </row>
    <row r="1772" spans="5:5" x14ac:dyDescent="0.25">
      <c r="E1772" t="s">
        <v>149</v>
      </c>
    </row>
    <row r="1773" spans="5:5" x14ac:dyDescent="0.25">
      <c r="E1773" t="s">
        <v>149</v>
      </c>
    </row>
    <row r="1774" spans="5:5" x14ac:dyDescent="0.25">
      <c r="E1774" t="s">
        <v>149</v>
      </c>
    </row>
    <row r="1775" spans="5:5" x14ac:dyDescent="0.25">
      <c r="E1775" t="s">
        <v>149</v>
      </c>
    </row>
    <row r="1776" spans="5:5" x14ac:dyDescent="0.25">
      <c r="E1776" t="s">
        <v>149</v>
      </c>
    </row>
    <row r="1777" spans="5:5" x14ac:dyDescent="0.25">
      <c r="E1777" t="s">
        <v>149</v>
      </c>
    </row>
    <row r="1778" spans="5:5" x14ac:dyDescent="0.25">
      <c r="E1778" t="s">
        <v>149</v>
      </c>
    </row>
    <row r="1779" spans="5:5" x14ac:dyDescent="0.25">
      <c r="E1779" t="s">
        <v>149</v>
      </c>
    </row>
    <row r="1780" spans="5:5" x14ac:dyDescent="0.25">
      <c r="E1780" t="s">
        <v>149</v>
      </c>
    </row>
    <row r="1781" spans="5:5" x14ac:dyDescent="0.25">
      <c r="E1781" t="s">
        <v>149</v>
      </c>
    </row>
    <row r="1782" spans="5:5" x14ac:dyDescent="0.25">
      <c r="E1782" t="s">
        <v>149</v>
      </c>
    </row>
    <row r="1783" spans="5:5" x14ac:dyDescent="0.25">
      <c r="E1783" t="s">
        <v>149</v>
      </c>
    </row>
    <row r="1784" spans="5:5" x14ac:dyDescent="0.25">
      <c r="E1784" t="s">
        <v>149</v>
      </c>
    </row>
    <row r="1785" spans="5:5" x14ac:dyDescent="0.25">
      <c r="E1785" t="s">
        <v>149</v>
      </c>
    </row>
    <row r="1786" spans="5:5" x14ac:dyDescent="0.25">
      <c r="E1786" t="s">
        <v>149</v>
      </c>
    </row>
    <row r="1787" spans="5:5" x14ac:dyDescent="0.25">
      <c r="E1787" t="s">
        <v>149</v>
      </c>
    </row>
    <row r="1788" spans="5:5" x14ac:dyDescent="0.25">
      <c r="E1788" t="s">
        <v>149</v>
      </c>
    </row>
    <row r="1789" spans="5:5" x14ac:dyDescent="0.25">
      <c r="E1789" t="s">
        <v>149</v>
      </c>
    </row>
    <row r="1790" spans="5:5" x14ac:dyDescent="0.25">
      <c r="E1790" t="s">
        <v>149</v>
      </c>
    </row>
    <row r="1791" spans="5:5" x14ac:dyDescent="0.25">
      <c r="E1791" t="s">
        <v>149</v>
      </c>
    </row>
    <row r="1792" spans="5:5" x14ac:dyDescent="0.25">
      <c r="E1792" t="s">
        <v>149</v>
      </c>
    </row>
    <row r="1793" spans="5:5" x14ac:dyDescent="0.25">
      <c r="E1793" t="s">
        <v>149</v>
      </c>
    </row>
    <row r="1794" spans="5:5" x14ac:dyDescent="0.25">
      <c r="E1794" t="s">
        <v>149</v>
      </c>
    </row>
    <row r="1795" spans="5:5" x14ac:dyDescent="0.25">
      <c r="E1795" t="s">
        <v>149</v>
      </c>
    </row>
    <row r="1796" spans="5:5" x14ac:dyDescent="0.25">
      <c r="E1796" t="s">
        <v>149</v>
      </c>
    </row>
    <row r="1797" spans="5:5" x14ac:dyDescent="0.25">
      <c r="E1797" t="s">
        <v>149</v>
      </c>
    </row>
    <row r="1798" spans="5:5" x14ac:dyDescent="0.25">
      <c r="E1798" t="s">
        <v>149</v>
      </c>
    </row>
    <row r="1799" spans="5:5" x14ac:dyDescent="0.25">
      <c r="E1799" t="s">
        <v>149</v>
      </c>
    </row>
    <row r="1800" spans="5:5" x14ac:dyDescent="0.25">
      <c r="E1800" t="s">
        <v>149</v>
      </c>
    </row>
    <row r="1801" spans="5:5" x14ac:dyDescent="0.25">
      <c r="E1801" t="s">
        <v>149</v>
      </c>
    </row>
    <row r="1802" spans="5:5" x14ac:dyDescent="0.25">
      <c r="E1802" t="s">
        <v>149</v>
      </c>
    </row>
    <row r="1803" spans="5:5" x14ac:dyDescent="0.25">
      <c r="E1803" t="s">
        <v>149</v>
      </c>
    </row>
    <row r="1804" spans="5:5" x14ac:dyDescent="0.25">
      <c r="E1804" t="s">
        <v>149</v>
      </c>
    </row>
    <row r="1805" spans="5:5" x14ac:dyDescent="0.25">
      <c r="E1805" t="s">
        <v>149</v>
      </c>
    </row>
    <row r="1806" spans="5:5" x14ac:dyDescent="0.25">
      <c r="E1806" t="s">
        <v>149</v>
      </c>
    </row>
    <row r="1807" spans="5:5" x14ac:dyDescent="0.25">
      <c r="E1807" t="s">
        <v>149</v>
      </c>
    </row>
    <row r="1808" spans="5:5" x14ac:dyDescent="0.25">
      <c r="E1808" t="s">
        <v>149</v>
      </c>
    </row>
    <row r="1809" spans="5:5" x14ac:dyDescent="0.25">
      <c r="E1809" t="s">
        <v>149</v>
      </c>
    </row>
    <row r="1810" spans="5:5" x14ac:dyDescent="0.25">
      <c r="E1810" t="s">
        <v>149</v>
      </c>
    </row>
    <row r="1811" spans="5:5" x14ac:dyDescent="0.25">
      <c r="E1811" t="s">
        <v>149</v>
      </c>
    </row>
    <row r="1812" spans="5:5" x14ac:dyDescent="0.25">
      <c r="E1812" t="s">
        <v>149</v>
      </c>
    </row>
    <row r="1813" spans="5:5" x14ac:dyDescent="0.25">
      <c r="E1813" t="s">
        <v>149</v>
      </c>
    </row>
    <row r="1814" spans="5:5" x14ac:dyDescent="0.25">
      <c r="E1814" t="s">
        <v>149</v>
      </c>
    </row>
    <row r="1815" spans="5:5" x14ac:dyDescent="0.25">
      <c r="E1815" t="s">
        <v>149</v>
      </c>
    </row>
    <row r="1816" spans="5:5" x14ac:dyDescent="0.25">
      <c r="E1816" t="s">
        <v>149</v>
      </c>
    </row>
    <row r="1817" spans="5:5" x14ac:dyDescent="0.25">
      <c r="E1817" t="s">
        <v>149</v>
      </c>
    </row>
    <row r="1818" spans="5:5" x14ac:dyDescent="0.25">
      <c r="E1818" t="s">
        <v>149</v>
      </c>
    </row>
    <row r="1819" spans="5:5" x14ac:dyDescent="0.25">
      <c r="E1819" t="s">
        <v>149</v>
      </c>
    </row>
    <row r="1820" spans="5:5" x14ac:dyDescent="0.25">
      <c r="E1820" t="s">
        <v>149</v>
      </c>
    </row>
    <row r="1821" spans="5:5" x14ac:dyDescent="0.25">
      <c r="E1821" t="s">
        <v>149</v>
      </c>
    </row>
    <row r="1822" spans="5:5" x14ac:dyDescent="0.25">
      <c r="E1822" t="s">
        <v>149</v>
      </c>
    </row>
    <row r="1823" spans="5:5" x14ac:dyDescent="0.25">
      <c r="E1823" t="s">
        <v>149</v>
      </c>
    </row>
    <row r="1824" spans="5:5" x14ac:dyDescent="0.25">
      <c r="E1824" t="s">
        <v>149</v>
      </c>
    </row>
    <row r="1825" spans="5:5" x14ac:dyDescent="0.25">
      <c r="E1825" t="s">
        <v>149</v>
      </c>
    </row>
    <row r="1826" spans="5:5" x14ac:dyDescent="0.25">
      <c r="E1826" t="s">
        <v>149</v>
      </c>
    </row>
    <row r="1827" spans="5:5" x14ac:dyDescent="0.25">
      <c r="E1827" t="s">
        <v>149</v>
      </c>
    </row>
    <row r="1828" spans="5:5" x14ac:dyDescent="0.25">
      <c r="E1828" t="s">
        <v>149</v>
      </c>
    </row>
    <row r="1829" spans="5:5" x14ac:dyDescent="0.25">
      <c r="E1829" t="s">
        <v>149</v>
      </c>
    </row>
    <row r="1830" spans="5:5" x14ac:dyDescent="0.25">
      <c r="E1830" t="s">
        <v>149</v>
      </c>
    </row>
    <row r="1831" spans="5:5" x14ac:dyDescent="0.25">
      <c r="E1831" t="s">
        <v>149</v>
      </c>
    </row>
    <row r="1832" spans="5:5" x14ac:dyDescent="0.25">
      <c r="E1832" t="s">
        <v>149</v>
      </c>
    </row>
    <row r="1833" spans="5:5" x14ac:dyDescent="0.25">
      <c r="E1833" t="s">
        <v>149</v>
      </c>
    </row>
    <row r="1834" spans="5:5" x14ac:dyDescent="0.25">
      <c r="E1834" t="s">
        <v>149</v>
      </c>
    </row>
    <row r="1835" spans="5:5" x14ac:dyDescent="0.25">
      <c r="E1835" t="s">
        <v>149</v>
      </c>
    </row>
    <row r="1836" spans="5:5" x14ac:dyDescent="0.25">
      <c r="E1836" t="s">
        <v>149</v>
      </c>
    </row>
    <row r="1837" spans="5:5" x14ac:dyDescent="0.25">
      <c r="E1837" t="s">
        <v>149</v>
      </c>
    </row>
    <row r="1838" spans="5:5" x14ac:dyDescent="0.25">
      <c r="E1838" t="s">
        <v>149</v>
      </c>
    </row>
    <row r="1839" spans="5:5" x14ac:dyDescent="0.25">
      <c r="E1839" t="s">
        <v>149</v>
      </c>
    </row>
    <row r="1840" spans="5:5" x14ac:dyDescent="0.25">
      <c r="E1840" t="s">
        <v>149</v>
      </c>
    </row>
    <row r="1841" spans="5:5" x14ac:dyDescent="0.25">
      <c r="E1841" t="s">
        <v>149</v>
      </c>
    </row>
    <row r="1842" spans="5:5" x14ac:dyDescent="0.25">
      <c r="E1842" t="s">
        <v>149</v>
      </c>
    </row>
    <row r="1843" spans="5:5" x14ac:dyDescent="0.25">
      <c r="E1843" t="s">
        <v>149</v>
      </c>
    </row>
    <row r="1844" spans="5:5" x14ac:dyDescent="0.25">
      <c r="E1844" t="s">
        <v>149</v>
      </c>
    </row>
    <row r="1845" spans="5:5" x14ac:dyDescent="0.25">
      <c r="E1845" t="s">
        <v>149</v>
      </c>
    </row>
    <row r="1846" spans="5:5" x14ac:dyDescent="0.25">
      <c r="E1846" t="s">
        <v>149</v>
      </c>
    </row>
    <row r="1847" spans="5:5" x14ac:dyDescent="0.25">
      <c r="E1847" t="s">
        <v>149</v>
      </c>
    </row>
    <row r="1848" spans="5:5" x14ac:dyDescent="0.25">
      <c r="E1848" t="s">
        <v>149</v>
      </c>
    </row>
    <row r="1849" spans="5:5" x14ac:dyDescent="0.25">
      <c r="E1849" t="s">
        <v>149</v>
      </c>
    </row>
    <row r="1850" spans="5:5" x14ac:dyDescent="0.25">
      <c r="E1850" t="s">
        <v>149</v>
      </c>
    </row>
    <row r="1851" spans="5:5" x14ac:dyDescent="0.25">
      <c r="E1851" t="s">
        <v>149</v>
      </c>
    </row>
    <row r="1852" spans="5:5" x14ac:dyDescent="0.25">
      <c r="E1852" t="s">
        <v>149</v>
      </c>
    </row>
    <row r="1853" spans="5:5" x14ac:dyDescent="0.25">
      <c r="E1853" t="s">
        <v>149</v>
      </c>
    </row>
    <row r="1854" spans="5:5" x14ac:dyDescent="0.25">
      <c r="E1854" t="s">
        <v>149</v>
      </c>
    </row>
    <row r="1855" spans="5:5" x14ac:dyDescent="0.25">
      <c r="E1855" t="s">
        <v>149</v>
      </c>
    </row>
    <row r="1856" spans="5:5" x14ac:dyDescent="0.25">
      <c r="E1856" t="s">
        <v>149</v>
      </c>
    </row>
    <row r="1857" spans="5:5" x14ac:dyDescent="0.25">
      <c r="E1857" t="s">
        <v>149</v>
      </c>
    </row>
    <row r="1858" spans="5:5" x14ac:dyDescent="0.25">
      <c r="E1858" t="s">
        <v>149</v>
      </c>
    </row>
    <row r="1859" spans="5:5" x14ac:dyDescent="0.25">
      <c r="E1859" t="s">
        <v>149</v>
      </c>
    </row>
    <row r="1860" spans="5:5" x14ac:dyDescent="0.25">
      <c r="E1860" t="s">
        <v>149</v>
      </c>
    </row>
    <row r="1861" spans="5:5" x14ac:dyDescent="0.25">
      <c r="E1861" t="s">
        <v>149</v>
      </c>
    </row>
    <row r="1862" spans="5:5" x14ac:dyDescent="0.25">
      <c r="E1862" t="s">
        <v>149</v>
      </c>
    </row>
    <row r="1863" spans="5:5" x14ac:dyDescent="0.25">
      <c r="E1863" t="s">
        <v>149</v>
      </c>
    </row>
    <row r="1864" spans="5:5" x14ac:dyDescent="0.25">
      <c r="E1864" t="s">
        <v>149</v>
      </c>
    </row>
    <row r="1865" spans="5:5" x14ac:dyDescent="0.25">
      <c r="E1865" t="s">
        <v>149</v>
      </c>
    </row>
    <row r="1866" spans="5:5" x14ac:dyDescent="0.25">
      <c r="E1866" t="s">
        <v>149</v>
      </c>
    </row>
    <row r="1867" spans="5:5" x14ac:dyDescent="0.25">
      <c r="E1867" t="s">
        <v>149</v>
      </c>
    </row>
    <row r="1868" spans="5:5" x14ac:dyDescent="0.25">
      <c r="E1868" t="s">
        <v>149</v>
      </c>
    </row>
    <row r="1869" spans="5:5" x14ac:dyDescent="0.25">
      <c r="E1869" t="s">
        <v>149</v>
      </c>
    </row>
    <row r="1870" spans="5:5" x14ac:dyDescent="0.25">
      <c r="E1870" t="s">
        <v>149</v>
      </c>
    </row>
    <row r="1871" spans="5:5" x14ac:dyDescent="0.25">
      <c r="E1871" t="s">
        <v>149</v>
      </c>
    </row>
    <row r="1872" spans="5:5" x14ac:dyDescent="0.25">
      <c r="E1872" t="s">
        <v>149</v>
      </c>
    </row>
    <row r="1873" spans="5:5" x14ac:dyDescent="0.25">
      <c r="E1873" t="s">
        <v>149</v>
      </c>
    </row>
    <row r="1874" spans="5:5" x14ac:dyDescent="0.25">
      <c r="E1874" t="s">
        <v>149</v>
      </c>
    </row>
    <row r="1875" spans="5:5" x14ac:dyDescent="0.25">
      <c r="E1875" t="s">
        <v>149</v>
      </c>
    </row>
    <row r="1876" spans="5:5" x14ac:dyDescent="0.25">
      <c r="E1876" t="s">
        <v>149</v>
      </c>
    </row>
    <row r="1877" spans="5:5" x14ac:dyDescent="0.25">
      <c r="E1877" t="s">
        <v>149</v>
      </c>
    </row>
    <row r="1878" spans="5:5" x14ac:dyDescent="0.25">
      <c r="E1878" t="s">
        <v>149</v>
      </c>
    </row>
    <row r="1879" spans="5:5" x14ac:dyDescent="0.25">
      <c r="E1879" t="s">
        <v>149</v>
      </c>
    </row>
    <row r="1880" spans="5:5" x14ac:dyDescent="0.25">
      <c r="E1880" t="s">
        <v>149</v>
      </c>
    </row>
    <row r="1881" spans="5:5" x14ac:dyDescent="0.25">
      <c r="E1881" t="s">
        <v>149</v>
      </c>
    </row>
    <row r="1882" spans="5:5" x14ac:dyDescent="0.25">
      <c r="E1882" t="s">
        <v>149</v>
      </c>
    </row>
    <row r="1883" spans="5:5" x14ac:dyDescent="0.25">
      <c r="E1883" t="s">
        <v>149</v>
      </c>
    </row>
    <row r="1884" spans="5:5" x14ac:dyDescent="0.25">
      <c r="E1884" t="s">
        <v>149</v>
      </c>
    </row>
    <row r="1885" spans="5:5" x14ac:dyDescent="0.25">
      <c r="E1885" t="s">
        <v>149</v>
      </c>
    </row>
    <row r="1886" spans="5:5" x14ac:dyDescent="0.25">
      <c r="E1886" t="s">
        <v>149</v>
      </c>
    </row>
    <row r="1887" spans="5:5" x14ac:dyDescent="0.25">
      <c r="E1887" t="s">
        <v>149</v>
      </c>
    </row>
    <row r="1888" spans="5:5" x14ac:dyDescent="0.25">
      <c r="E1888" t="s">
        <v>149</v>
      </c>
    </row>
    <row r="1889" spans="5:5" x14ac:dyDescent="0.25">
      <c r="E1889" t="s">
        <v>149</v>
      </c>
    </row>
    <row r="1890" spans="5:5" x14ac:dyDescent="0.25">
      <c r="E1890" t="s">
        <v>149</v>
      </c>
    </row>
    <row r="1891" spans="5:5" x14ac:dyDescent="0.25">
      <c r="E1891" t="s">
        <v>149</v>
      </c>
    </row>
    <row r="1892" spans="5:5" x14ac:dyDescent="0.25">
      <c r="E1892" t="s">
        <v>149</v>
      </c>
    </row>
    <row r="1893" spans="5:5" x14ac:dyDescent="0.25">
      <c r="E1893" t="s">
        <v>149</v>
      </c>
    </row>
    <row r="1894" spans="5:5" x14ac:dyDescent="0.25">
      <c r="E1894" t="s">
        <v>149</v>
      </c>
    </row>
    <row r="1895" spans="5:5" x14ac:dyDescent="0.25">
      <c r="E1895" t="s">
        <v>149</v>
      </c>
    </row>
    <row r="1896" spans="5:5" x14ac:dyDescent="0.25">
      <c r="E1896" t="s">
        <v>149</v>
      </c>
    </row>
    <row r="1897" spans="5:5" x14ac:dyDescent="0.25">
      <c r="E1897" t="s">
        <v>149</v>
      </c>
    </row>
    <row r="1898" spans="5:5" x14ac:dyDescent="0.25">
      <c r="E1898" t="s">
        <v>149</v>
      </c>
    </row>
    <row r="1899" spans="5:5" x14ac:dyDescent="0.25">
      <c r="E1899" t="s">
        <v>149</v>
      </c>
    </row>
    <row r="1900" spans="5:5" x14ac:dyDescent="0.25">
      <c r="E1900" t="s">
        <v>149</v>
      </c>
    </row>
    <row r="1901" spans="5:5" x14ac:dyDescent="0.25">
      <c r="E1901" t="s">
        <v>149</v>
      </c>
    </row>
    <row r="1902" spans="5:5" x14ac:dyDescent="0.25">
      <c r="E1902" t="s">
        <v>149</v>
      </c>
    </row>
    <row r="1903" spans="5:5" x14ac:dyDescent="0.25">
      <c r="E1903" t="s">
        <v>149</v>
      </c>
    </row>
    <row r="1904" spans="5:5" x14ac:dyDescent="0.25">
      <c r="E1904" t="s">
        <v>149</v>
      </c>
    </row>
    <row r="1905" spans="5:5" x14ac:dyDescent="0.25">
      <c r="E1905" t="s">
        <v>149</v>
      </c>
    </row>
    <row r="1906" spans="5:5" x14ac:dyDescent="0.25">
      <c r="E1906" t="s">
        <v>149</v>
      </c>
    </row>
    <row r="1907" spans="5:5" x14ac:dyDescent="0.25">
      <c r="E1907" t="s">
        <v>149</v>
      </c>
    </row>
    <row r="1908" spans="5:5" x14ac:dyDescent="0.25">
      <c r="E1908" t="s">
        <v>149</v>
      </c>
    </row>
    <row r="1909" spans="5:5" x14ac:dyDescent="0.25">
      <c r="E1909" t="s">
        <v>149</v>
      </c>
    </row>
    <row r="1910" spans="5:5" x14ac:dyDescent="0.25">
      <c r="E1910" t="s">
        <v>149</v>
      </c>
    </row>
    <row r="1911" spans="5:5" x14ac:dyDescent="0.25">
      <c r="E1911" t="s">
        <v>149</v>
      </c>
    </row>
    <row r="1912" spans="5:5" x14ac:dyDescent="0.25">
      <c r="E1912" t="s">
        <v>149</v>
      </c>
    </row>
    <row r="1913" spans="5:5" x14ac:dyDescent="0.25">
      <c r="E1913" t="s">
        <v>149</v>
      </c>
    </row>
    <row r="1914" spans="5:5" x14ac:dyDescent="0.25">
      <c r="E1914" t="s">
        <v>149</v>
      </c>
    </row>
    <row r="1915" spans="5:5" x14ac:dyDescent="0.25">
      <c r="E1915" t="s">
        <v>149</v>
      </c>
    </row>
    <row r="1916" spans="5:5" x14ac:dyDescent="0.25">
      <c r="E1916" t="s">
        <v>149</v>
      </c>
    </row>
    <row r="1917" spans="5:5" x14ac:dyDescent="0.25">
      <c r="E1917" t="s">
        <v>149</v>
      </c>
    </row>
    <row r="1918" spans="5:5" x14ac:dyDescent="0.25">
      <c r="E1918" t="s">
        <v>149</v>
      </c>
    </row>
    <row r="1919" spans="5:5" x14ac:dyDescent="0.25">
      <c r="E1919" t="s">
        <v>149</v>
      </c>
    </row>
    <row r="1920" spans="5:5" x14ac:dyDescent="0.25">
      <c r="E1920" t="s">
        <v>149</v>
      </c>
    </row>
    <row r="1921" spans="5:5" x14ac:dyDescent="0.25">
      <c r="E1921" t="s">
        <v>149</v>
      </c>
    </row>
    <row r="1922" spans="5:5" x14ac:dyDescent="0.25">
      <c r="E1922" t="s">
        <v>149</v>
      </c>
    </row>
    <row r="1923" spans="5:5" x14ac:dyDescent="0.25">
      <c r="E1923" t="s">
        <v>149</v>
      </c>
    </row>
    <row r="1924" spans="5:5" x14ac:dyDescent="0.25">
      <c r="E1924" t="s">
        <v>149</v>
      </c>
    </row>
    <row r="1925" spans="5:5" x14ac:dyDescent="0.25">
      <c r="E1925" t="s">
        <v>149</v>
      </c>
    </row>
    <row r="1926" spans="5:5" x14ac:dyDescent="0.25">
      <c r="E1926" t="s">
        <v>149</v>
      </c>
    </row>
    <row r="1927" spans="5:5" x14ac:dyDescent="0.25">
      <c r="E1927" t="s">
        <v>149</v>
      </c>
    </row>
    <row r="1928" spans="5:5" x14ac:dyDescent="0.25">
      <c r="E1928" t="s">
        <v>149</v>
      </c>
    </row>
    <row r="1929" spans="5:5" x14ac:dyDescent="0.25">
      <c r="E1929" t="s">
        <v>149</v>
      </c>
    </row>
    <row r="1930" spans="5:5" x14ac:dyDescent="0.25">
      <c r="E1930" t="s">
        <v>149</v>
      </c>
    </row>
    <row r="1931" spans="5:5" x14ac:dyDescent="0.25">
      <c r="E1931" t="s">
        <v>149</v>
      </c>
    </row>
    <row r="1932" spans="5:5" x14ac:dyDescent="0.25">
      <c r="E1932" t="s">
        <v>149</v>
      </c>
    </row>
    <row r="1933" spans="5:5" x14ac:dyDescent="0.25">
      <c r="E1933" t="s">
        <v>149</v>
      </c>
    </row>
    <row r="1934" spans="5:5" x14ac:dyDescent="0.25">
      <c r="E1934" t="s">
        <v>149</v>
      </c>
    </row>
    <row r="1935" spans="5:5" x14ac:dyDescent="0.25">
      <c r="E1935" t="s">
        <v>149</v>
      </c>
    </row>
    <row r="1936" spans="5:5" x14ac:dyDescent="0.25">
      <c r="E1936" t="s">
        <v>149</v>
      </c>
    </row>
    <row r="1937" spans="5:5" x14ac:dyDescent="0.25">
      <c r="E1937" t="s">
        <v>149</v>
      </c>
    </row>
    <row r="1938" spans="5:5" x14ac:dyDescent="0.25">
      <c r="E1938" t="s">
        <v>149</v>
      </c>
    </row>
    <row r="1939" spans="5:5" x14ac:dyDescent="0.25">
      <c r="E1939" t="s">
        <v>149</v>
      </c>
    </row>
    <row r="1940" spans="5:5" x14ac:dyDescent="0.25">
      <c r="E1940" t="s">
        <v>149</v>
      </c>
    </row>
    <row r="1941" spans="5:5" x14ac:dyDescent="0.25">
      <c r="E1941" t="s">
        <v>149</v>
      </c>
    </row>
    <row r="1942" spans="5:5" x14ac:dyDescent="0.25">
      <c r="E1942" t="s">
        <v>149</v>
      </c>
    </row>
    <row r="1943" spans="5:5" x14ac:dyDescent="0.25">
      <c r="E1943" t="s">
        <v>149</v>
      </c>
    </row>
    <row r="1944" spans="5:5" x14ac:dyDescent="0.25">
      <c r="E1944" t="s">
        <v>149</v>
      </c>
    </row>
    <row r="1945" spans="5:5" x14ac:dyDescent="0.25">
      <c r="E1945" t="s">
        <v>149</v>
      </c>
    </row>
    <row r="1946" spans="5:5" x14ac:dyDescent="0.25">
      <c r="E1946" t="s">
        <v>149</v>
      </c>
    </row>
    <row r="1947" spans="5:5" x14ac:dyDescent="0.25">
      <c r="E1947" t="s">
        <v>149</v>
      </c>
    </row>
    <row r="1948" spans="5:5" x14ac:dyDescent="0.25">
      <c r="E1948" t="s">
        <v>149</v>
      </c>
    </row>
    <row r="1949" spans="5:5" x14ac:dyDescent="0.25">
      <c r="E1949" t="s">
        <v>149</v>
      </c>
    </row>
    <row r="1950" spans="5:5" x14ac:dyDescent="0.25">
      <c r="E1950" t="s">
        <v>149</v>
      </c>
    </row>
    <row r="1951" spans="5:5" x14ac:dyDescent="0.25">
      <c r="E1951" t="s">
        <v>149</v>
      </c>
    </row>
    <row r="1952" spans="5:5" x14ac:dyDescent="0.25">
      <c r="E1952" t="s">
        <v>149</v>
      </c>
    </row>
    <row r="1953" spans="5:5" x14ac:dyDescent="0.25">
      <c r="E1953" t="s">
        <v>149</v>
      </c>
    </row>
    <row r="1954" spans="5:5" x14ac:dyDescent="0.25">
      <c r="E1954" t="s">
        <v>149</v>
      </c>
    </row>
    <row r="1955" spans="5:5" x14ac:dyDescent="0.25">
      <c r="E1955" t="s">
        <v>149</v>
      </c>
    </row>
    <row r="1956" spans="5:5" x14ac:dyDescent="0.25">
      <c r="E1956" t="s">
        <v>149</v>
      </c>
    </row>
    <row r="1957" spans="5:5" x14ac:dyDescent="0.25">
      <c r="E1957" t="s">
        <v>149</v>
      </c>
    </row>
    <row r="1958" spans="5:5" x14ac:dyDescent="0.25">
      <c r="E1958" t="s">
        <v>149</v>
      </c>
    </row>
    <row r="1959" spans="5:5" x14ac:dyDescent="0.25">
      <c r="E1959" t="s">
        <v>149</v>
      </c>
    </row>
    <row r="1960" spans="5:5" x14ac:dyDescent="0.25">
      <c r="E1960" t="s">
        <v>149</v>
      </c>
    </row>
    <row r="1961" spans="5:5" x14ac:dyDescent="0.25">
      <c r="E1961" t="s">
        <v>149</v>
      </c>
    </row>
    <row r="1962" spans="5:5" x14ac:dyDescent="0.25">
      <c r="E1962" t="s">
        <v>149</v>
      </c>
    </row>
    <row r="1963" spans="5:5" x14ac:dyDescent="0.25">
      <c r="E1963" t="s">
        <v>149</v>
      </c>
    </row>
    <row r="1964" spans="5:5" x14ac:dyDescent="0.25">
      <c r="E1964" t="s">
        <v>149</v>
      </c>
    </row>
    <row r="1965" spans="5:5" x14ac:dyDescent="0.25">
      <c r="E1965" t="s">
        <v>149</v>
      </c>
    </row>
    <row r="1966" spans="5:5" x14ac:dyDescent="0.25">
      <c r="E1966" t="s">
        <v>149</v>
      </c>
    </row>
    <row r="1967" spans="5:5" x14ac:dyDescent="0.25">
      <c r="E1967" t="s">
        <v>149</v>
      </c>
    </row>
    <row r="1968" spans="5:5" x14ac:dyDescent="0.25">
      <c r="E1968" t="s">
        <v>149</v>
      </c>
    </row>
    <row r="1969" spans="5:5" x14ac:dyDescent="0.25">
      <c r="E1969" t="s">
        <v>149</v>
      </c>
    </row>
    <row r="1970" spans="5:5" x14ac:dyDescent="0.25">
      <c r="E1970" t="s">
        <v>149</v>
      </c>
    </row>
    <row r="1971" spans="5:5" x14ac:dyDescent="0.25">
      <c r="E1971" t="s">
        <v>149</v>
      </c>
    </row>
    <row r="1972" spans="5:5" x14ac:dyDescent="0.25">
      <c r="E1972" t="s">
        <v>149</v>
      </c>
    </row>
    <row r="1973" spans="5:5" x14ac:dyDescent="0.25">
      <c r="E1973" t="s">
        <v>149</v>
      </c>
    </row>
    <row r="1974" spans="5:5" x14ac:dyDescent="0.25">
      <c r="E1974" t="s">
        <v>149</v>
      </c>
    </row>
    <row r="1975" spans="5:5" x14ac:dyDescent="0.25">
      <c r="E1975" t="s">
        <v>149</v>
      </c>
    </row>
    <row r="1976" spans="5:5" x14ac:dyDescent="0.25">
      <c r="E1976" t="s">
        <v>149</v>
      </c>
    </row>
    <row r="1977" spans="5:5" x14ac:dyDescent="0.25">
      <c r="E1977" t="s">
        <v>149</v>
      </c>
    </row>
    <row r="1978" spans="5:5" x14ac:dyDescent="0.25">
      <c r="E1978" t="s">
        <v>149</v>
      </c>
    </row>
    <row r="1979" spans="5:5" x14ac:dyDescent="0.25">
      <c r="E1979" t="s">
        <v>149</v>
      </c>
    </row>
    <row r="1980" spans="5:5" x14ac:dyDescent="0.25">
      <c r="E1980" t="s">
        <v>149</v>
      </c>
    </row>
    <row r="1981" spans="5:5" x14ac:dyDescent="0.25">
      <c r="E1981" t="s">
        <v>149</v>
      </c>
    </row>
    <row r="1982" spans="5:5" x14ac:dyDescent="0.25">
      <c r="E1982" t="s">
        <v>149</v>
      </c>
    </row>
    <row r="1983" spans="5:5" x14ac:dyDescent="0.25">
      <c r="E1983" t="s">
        <v>149</v>
      </c>
    </row>
    <row r="1984" spans="5:5" x14ac:dyDescent="0.25">
      <c r="E1984" t="s">
        <v>149</v>
      </c>
    </row>
    <row r="1985" spans="5:5" x14ac:dyDescent="0.25">
      <c r="E1985" t="s">
        <v>149</v>
      </c>
    </row>
    <row r="1986" spans="5:5" x14ac:dyDescent="0.25">
      <c r="E1986" t="s">
        <v>149</v>
      </c>
    </row>
    <row r="1987" spans="5:5" x14ac:dyDescent="0.25">
      <c r="E1987" t="s">
        <v>149</v>
      </c>
    </row>
    <row r="1988" spans="5:5" x14ac:dyDescent="0.25">
      <c r="E1988" t="s">
        <v>149</v>
      </c>
    </row>
    <row r="1989" spans="5:5" x14ac:dyDescent="0.25">
      <c r="E1989" t="s">
        <v>149</v>
      </c>
    </row>
    <row r="1990" spans="5:5" x14ac:dyDescent="0.25">
      <c r="E1990" t="s">
        <v>149</v>
      </c>
    </row>
    <row r="1991" spans="5:5" x14ac:dyDescent="0.25">
      <c r="E1991" t="s">
        <v>149</v>
      </c>
    </row>
    <row r="1992" spans="5:5" x14ac:dyDescent="0.25">
      <c r="E1992" t="s">
        <v>149</v>
      </c>
    </row>
    <row r="1993" spans="5:5" x14ac:dyDescent="0.25">
      <c r="E1993" t="s">
        <v>149</v>
      </c>
    </row>
    <row r="1994" spans="5:5" x14ac:dyDescent="0.25">
      <c r="E1994" t="s">
        <v>149</v>
      </c>
    </row>
    <row r="1995" spans="5:5" x14ac:dyDescent="0.25">
      <c r="E1995" t="s">
        <v>149</v>
      </c>
    </row>
    <row r="1996" spans="5:5" x14ac:dyDescent="0.25">
      <c r="E1996" t="s">
        <v>149</v>
      </c>
    </row>
    <row r="1997" spans="5:5" x14ac:dyDescent="0.25">
      <c r="E1997" t="s">
        <v>149</v>
      </c>
    </row>
    <row r="1998" spans="5:5" x14ac:dyDescent="0.25">
      <c r="E1998" t="s">
        <v>149</v>
      </c>
    </row>
    <row r="1999" spans="5:5" x14ac:dyDescent="0.25">
      <c r="E1999" t="s">
        <v>149</v>
      </c>
    </row>
    <row r="2000" spans="5:5" x14ac:dyDescent="0.25">
      <c r="E2000" t="s">
        <v>149</v>
      </c>
    </row>
    <row r="2001" spans="5:5" x14ac:dyDescent="0.25">
      <c r="E2001" t="s">
        <v>149</v>
      </c>
    </row>
    <row r="2002" spans="5:5" x14ac:dyDescent="0.25">
      <c r="E2002" t="s">
        <v>149</v>
      </c>
    </row>
    <row r="2003" spans="5:5" x14ac:dyDescent="0.25">
      <c r="E2003" t="s">
        <v>149</v>
      </c>
    </row>
    <row r="2004" spans="5:5" x14ac:dyDescent="0.25">
      <c r="E2004" t="s">
        <v>149</v>
      </c>
    </row>
    <row r="2005" spans="5:5" x14ac:dyDescent="0.25">
      <c r="E2005" t="s">
        <v>149</v>
      </c>
    </row>
    <row r="2006" spans="5:5" x14ac:dyDescent="0.25">
      <c r="E2006" t="s">
        <v>149</v>
      </c>
    </row>
    <row r="2007" spans="5:5" x14ac:dyDescent="0.25">
      <c r="E2007" t="s">
        <v>149</v>
      </c>
    </row>
    <row r="2008" spans="5:5" x14ac:dyDescent="0.25">
      <c r="E2008" t="s">
        <v>149</v>
      </c>
    </row>
    <row r="2009" spans="5:5" x14ac:dyDescent="0.25">
      <c r="E2009" t="s">
        <v>149</v>
      </c>
    </row>
    <row r="2010" spans="5:5" x14ac:dyDescent="0.25">
      <c r="E2010" t="s">
        <v>149</v>
      </c>
    </row>
    <row r="2011" spans="5:5" x14ac:dyDescent="0.25">
      <c r="E2011" t="s">
        <v>149</v>
      </c>
    </row>
    <row r="2012" spans="5:5" x14ac:dyDescent="0.25">
      <c r="E2012" t="s">
        <v>149</v>
      </c>
    </row>
    <row r="2013" spans="5:5" x14ac:dyDescent="0.25">
      <c r="E2013" t="s">
        <v>149</v>
      </c>
    </row>
    <row r="2014" spans="5:5" x14ac:dyDescent="0.25">
      <c r="E2014" t="s">
        <v>149</v>
      </c>
    </row>
    <row r="2015" spans="5:5" x14ac:dyDescent="0.25">
      <c r="E2015" t="s">
        <v>149</v>
      </c>
    </row>
    <row r="2016" spans="5:5" x14ac:dyDescent="0.25">
      <c r="E2016" t="s">
        <v>149</v>
      </c>
    </row>
    <row r="2017" spans="5:5" x14ac:dyDescent="0.25">
      <c r="E2017" t="s">
        <v>149</v>
      </c>
    </row>
    <row r="2018" spans="5:5" x14ac:dyDescent="0.25">
      <c r="E2018" t="s">
        <v>149</v>
      </c>
    </row>
    <row r="2019" spans="5:5" x14ac:dyDescent="0.25">
      <c r="E2019" t="s">
        <v>149</v>
      </c>
    </row>
    <row r="2020" spans="5:5" x14ac:dyDescent="0.25">
      <c r="E2020" t="s">
        <v>149</v>
      </c>
    </row>
    <row r="2021" spans="5:5" x14ac:dyDescent="0.25">
      <c r="E2021" t="s">
        <v>149</v>
      </c>
    </row>
    <row r="2022" spans="5:5" x14ac:dyDescent="0.25">
      <c r="E2022" t="s">
        <v>149</v>
      </c>
    </row>
    <row r="2023" spans="5:5" x14ac:dyDescent="0.25">
      <c r="E2023" t="s">
        <v>149</v>
      </c>
    </row>
    <row r="2024" spans="5:5" x14ac:dyDescent="0.25">
      <c r="E2024" t="s">
        <v>149</v>
      </c>
    </row>
    <row r="2025" spans="5:5" x14ac:dyDescent="0.25">
      <c r="E2025" t="s">
        <v>149</v>
      </c>
    </row>
    <row r="2026" spans="5:5" x14ac:dyDescent="0.25">
      <c r="E2026" t="s">
        <v>149</v>
      </c>
    </row>
    <row r="2027" spans="5:5" x14ac:dyDescent="0.25">
      <c r="E2027" t="s">
        <v>149</v>
      </c>
    </row>
    <row r="2028" spans="5:5" x14ac:dyDescent="0.25">
      <c r="E2028" t="s">
        <v>149</v>
      </c>
    </row>
    <row r="2029" spans="5:5" x14ac:dyDescent="0.25">
      <c r="E2029" t="s">
        <v>149</v>
      </c>
    </row>
    <row r="2030" spans="5:5" x14ac:dyDescent="0.25">
      <c r="E2030" t="s">
        <v>149</v>
      </c>
    </row>
    <row r="2031" spans="5:5" x14ac:dyDescent="0.25">
      <c r="E2031" t="s">
        <v>149</v>
      </c>
    </row>
    <row r="2032" spans="5:5" x14ac:dyDescent="0.25">
      <c r="E2032" t="s">
        <v>149</v>
      </c>
    </row>
    <row r="2033" spans="5:5" x14ac:dyDescent="0.25">
      <c r="E2033" t="s">
        <v>149</v>
      </c>
    </row>
    <row r="2034" spans="5:5" x14ac:dyDescent="0.25">
      <c r="E2034" t="s">
        <v>149</v>
      </c>
    </row>
    <row r="2035" spans="5:5" x14ac:dyDescent="0.25">
      <c r="E2035" t="s">
        <v>149</v>
      </c>
    </row>
    <row r="2036" spans="5:5" x14ac:dyDescent="0.25">
      <c r="E2036" t="s">
        <v>149</v>
      </c>
    </row>
    <row r="2037" spans="5:5" x14ac:dyDescent="0.25">
      <c r="E2037" t="s">
        <v>149</v>
      </c>
    </row>
    <row r="2038" spans="5:5" x14ac:dyDescent="0.25">
      <c r="E2038" t="s">
        <v>149</v>
      </c>
    </row>
    <row r="2039" spans="5:5" x14ac:dyDescent="0.25">
      <c r="E2039" t="s">
        <v>149</v>
      </c>
    </row>
    <row r="2040" spans="5:5" x14ac:dyDescent="0.25">
      <c r="E2040" t="s">
        <v>149</v>
      </c>
    </row>
    <row r="2041" spans="5:5" x14ac:dyDescent="0.25">
      <c r="E2041" t="s">
        <v>149</v>
      </c>
    </row>
    <row r="2042" spans="5:5" x14ac:dyDescent="0.25">
      <c r="E2042" t="s">
        <v>149</v>
      </c>
    </row>
    <row r="2043" spans="5:5" x14ac:dyDescent="0.25">
      <c r="E2043" t="s">
        <v>149</v>
      </c>
    </row>
    <row r="2044" spans="5:5" x14ac:dyDescent="0.25">
      <c r="E2044" t="s">
        <v>149</v>
      </c>
    </row>
    <row r="2045" spans="5:5" x14ac:dyDescent="0.25">
      <c r="E2045" t="s">
        <v>149</v>
      </c>
    </row>
    <row r="2046" spans="5:5" x14ac:dyDescent="0.25">
      <c r="E2046" t="s">
        <v>149</v>
      </c>
    </row>
    <row r="2047" spans="5:5" x14ac:dyDescent="0.25">
      <c r="E2047" t="s">
        <v>149</v>
      </c>
    </row>
    <row r="2048" spans="5:5" x14ac:dyDescent="0.25">
      <c r="E2048" t="s">
        <v>149</v>
      </c>
    </row>
    <row r="2049" spans="5:5" x14ac:dyDescent="0.25">
      <c r="E2049" t="s">
        <v>149</v>
      </c>
    </row>
    <row r="2050" spans="5:5" x14ac:dyDescent="0.25">
      <c r="E2050" t="s">
        <v>149</v>
      </c>
    </row>
    <row r="2051" spans="5:5" x14ac:dyDescent="0.25">
      <c r="E2051" t="s">
        <v>149</v>
      </c>
    </row>
    <row r="2052" spans="5:5" x14ac:dyDescent="0.25">
      <c r="E2052" t="s">
        <v>149</v>
      </c>
    </row>
    <row r="2053" spans="5:5" x14ac:dyDescent="0.25">
      <c r="E2053" t="s">
        <v>149</v>
      </c>
    </row>
    <row r="2054" spans="5:5" x14ac:dyDescent="0.25">
      <c r="E2054" t="s">
        <v>149</v>
      </c>
    </row>
    <row r="2055" spans="5:5" x14ac:dyDescent="0.25">
      <c r="E2055" t="s">
        <v>149</v>
      </c>
    </row>
    <row r="2056" spans="5:5" x14ac:dyDescent="0.25">
      <c r="E2056" t="s">
        <v>149</v>
      </c>
    </row>
    <row r="2057" spans="5:5" x14ac:dyDescent="0.25">
      <c r="E2057" t="s">
        <v>149</v>
      </c>
    </row>
    <row r="2058" spans="5:5" x14ac:dyDescent="0.25">
      <c r="E2058" t="s">
        <v>149</v>
      </c>
    </row>
    <row r="2059" spans="5:5" x14ac:dyDescent="0.25">
      <c r="E2059" t="s">
        <v>149</v>
      </c>
    </row>
    <row r="2060" spans="5:5" x14ac:dyDescent="0.25">
      <c r="E2060" t="s">
        <v>149</v>
      </c>
    </row>
    <row r="2061" spans="5:5" x14ac:dyDescent="0.25">
      <c r="E2061" t="s">
        <v>149</v>
      </c>
    </row>
    <row r="2062" spans="5:5" x14ac:dyDescent="0.25">
      <c r="E2062" t="s">
        <v>149</v>
      </c>
    </row>
    <row r="2063" spans="5:5" x14ac:dyDescent="0.25">
      <c r="E2063" t="s">
        <v>149</v>
      </c>
    </row>
    <row r="2064" spans="5:5" x14ac:dyDescent="0.25">
      <c r="E2064" t="s">
        <v>149</v>
      </c>
    </row>
    <row r="2065" spans="5:5" x14ac:dyDescent="0.25">
      <c r="E2065" t="s">
        <v>149</v>
      </c>
    </row>
    <row r="2066" spans="5:5" x14ac:dyDescent="0.25">
      <c r="E2066" t="s">
        <v>149</v>
      </c>
    </row>
    <row r="2067" spans="5:5" x14ac:dyDescent="0.25">
      <c r="E2067" t="s">
        <v>149</v>
      </c>
    </row>
    <row r="2068" spans="5:5" x14ac:dyDescent="0.25">
      <c r="E2068" t="s">
        <v>149</v>
      </c>
    </row>
    <row r="2069" spans="5:5" x14ac:dyDescent="0.25">
      <c r="E2069" t="s">
        <v>149</v>
      </c>
    </row>
    <row r="2070" spans="5:5" x14ac:dyDescent="0.25">
      <c r="E2070" t="s">
        <v>149</v>
      </c>
    </row>
    <row r="2071" spans="5:5" x14ac:dyDescent="0.25">
      <c r="E2071" t="s">
        <v>149</v>
      </c>
    </row>
    <row r="2072" spans="5:5" x14ac:dyDescent="0.25">
      <c r="E2072" t="s">
        <v>149</v>
      </c>
    </row>
    <row r="2073" spans="5:5" x14ac:dyDescent="0.25">
      <c r="E2073" t="s">
        <v>149</v>
      </c>
    </row>
    <row r="2074" spans="5:5" x14ac:dyDescent="0.25">
      <c r="E2074" t="s">
        <v>149</v>
      </c>
    </row>
    <row r="2075" spans="5:5" x14ac:dyDescent="0.25">
      <c r="E2075" t="s">
        <v>149</v>
      </c>
    </row>
    <row r="2076" spans="5:5" x14ac:dyDescent="0.25">
      <c r="E2076" t="s">
        <v>149</v>
      </c>
    </row>
    <row r="2077" spans="5:5" x14ac:dyDescent="0.25">
      <c r="E2077" t="s">
        <v>149</v>
      </c>
    </row>
    <row r="2078" spans="5:5" x14ac:dyDescent="0.25">
      <c r="E2078" t="s">
        <v>149</v>
      </c>
    </row>
    <row r="2079" spans="5:5" x14ac:dyDescent="0.25">
      <c r="E2079" t="s">
        <v>149</v>
      </c>
    </row>
    <row r="2080" spans="5:5" x14ac:dyDescent="0.25">
      <c r="E2080" t="s">
        <v>149</v>
      </c>
    </row>
    <row r="2081" spans="5:5" x14ac:dyDescent="0.25">
      <c r="E2081" t="s">
        <v>149</v>
      </c>
    </row>
    <row r="2082" spans="5:5" x14ac:dyDescent="0.25">
      <c r="E2082" t="s">
        <v>149</v>
      </c>
    </row>
    <row r="2083" spans="5:5" x14ac:dyDescent="0.25">
      <c r="E2083" t="s">
        <v>149</v>
      </c>
    </row>
    <row r="2084" spans="5:5" x14ac:dyDescent="0.25">
      <c r="E2084" t="s">
        <v>149</v>
      </c>
    </row>
    <row r="2085" spans="5:5" x14ac:dyDescent="0.25">
      <c r="E2085" t="s">
        <v>149</v>
      </c>
    </row>
    <row r="2086" spans="5:5" x14ac:dyDescent="0.25">
      <c r="E2086" t="s">
        <v>149</v>
      </c>
    </row>
    <row r="2087" spans="5:5" x14ac:dyDescent="0.25">
      <c r="E2087" t="s">
        <v>149</v>
      </c>
    </row>
    <row r="2088" spans="5:5" x14ac:dyDescent="0.25">
      <c r="E2088" t="s">
        <v>149</v>
      </c>
    </row>
    <row r="2089" spans="5:5" x14ac:dyDescent="0.25">
      <c r="E2089" t="s">
        <v>149</v>
      </c>
    </row>
    <row r="2090" spans="5:5" x14ac:dyDescent="0.25">
      <c r="E2090" t="s">
        <v>149</v>
      </c>
    </row>
    <row r="2091" spans="5:5" x14ac:dyDescent="0.25">
      <c r="E2091" t="s">
        <v>149</v>
      </c>
    </row>
    <row r="2092" spans="5:5" x14ac:dyDescent="0.25">
      <c r="E2092" t="s">
        <v>149</v>
      </c>
    </row>
    <row r="2093" spans="5:5" x14ac:dyDescent="0.25">
      <c r="E2093" t="s">
        <v>149</v>
      </c>
    </row>
    <row r="2094" spans="5:5" x14ac:dyDescent="0.25">
      <c r="E2094" t="s">
        <v>149</v>
      </c>
    </row>
    <row r="2095" spans="5:5" x14ac:dyDescent="0.25">
      <c r="E2095" t="s">
        <v>149</v>
      </c>
    </row>
    <row r="2096" spans="5:5" x14ac:dyDescent="0.25">
      <c r="E2096" t="s">
        <v>149</v>
      </c>
    </row>
    <row r="2097" spans="5:5" x14ac:dyDescent="0.25">
      <c r="E2097" t="s">
        <v>149</v>
      </c>
    </row>
    <row r="2098" spans="5:5" x14ac:dyDescent="0.25">
      <c r="E2098" t="s">
        <v>149</v>
      </c>
    </row>
    <row r="2099" spans="5:5" x14ac:dyDescent="0.25">
      <c r="E2099" t="s">
        <v>149</v>
      </c>
    </row>
    <row r="2100" spans="5:5" x14ac:dyDescent="0.25">
      <c r="E2100" t="s">
        <v>149</v>
      </c>
    </row>
    <row r="2101" spans="5:5" x14ac:dyDescent="0.25">
      <c r="E2101" t="s">
        <v>149</v>
      </c>
    </row>
    <row r="2102" spans="5:5" x14ac:dyDescent="0.25">
      <c r="E2102" t="s">
        <v>149</v>
      </c>
    </row>
    <row r="2103" spans="5:5" x14ac:dyDescent="0.25">
      <c r="E2103" t="s">
        <v>149</v>
      </c>
    </row>
    <row r="2104" spans="5:5" x14ac:dyDescent="0.25">
      <c r="E2104" t="s">
        <v>149</v>
      </c>
    </row>
    <row r="2105" spans="5:5" x14ac:dyDescent="0.25">
      <c r="E2105" t="s">
        <v>149</v>
      </c>
    </row>
    <row r="2106" spans="5:5" x14ac:dyDescent="0.25">
      <c r="E2106" t="s">
        <v>149</v>
      </c>
    </row>
    <row r="2107" spans="5:5" x14ac:dyDescent="0.25">
      <c r="E2107" t="s">
        <v>149</v>
      </c>
    </row>
    <row r="2108" spans="5:5" x14ac:dyDescent="0.25">
      <c r="E2108" t="s">
        <v>149</v>
      </c>
    </row>
    <row r="2109" spans="5:5" x14ac:dyDescent="0.25">
      <c r="E2109" t="s">
        <v>149</v>
      </c>
    </row>
    <row r="2110" spans="5:5" x14ac:dyDescent="0.25">
      <c r="E2110" t="s">
        <v>149</v>
      </c>
    </row>
    <row r="2111" spans="5:5" x14ac:dyDescent="0.25">
      <c r="E2111" t="s">
        <v>149</v>
      </c>
    </row>
    <row r="2112" spans="5:5" x14ac:dyDescent="0.25">
      <c r="E2112" t="s">
        <v>149</v>
      </c>
    </row>
    <row r="2113" spans="5:5" x14ac:dyDescent="0.25">
      <c r="E2113" t="s">
        <v>149</v>
      </c>
    </row>
    <row r="2114" spans="5:5" x14ac:dyDescent="0.25">
      <c r="E2114" t="s">
        <v>149</v>
      </c>
    </row>
    <row r="2115" spans="5:5" x14ac:dyDescent="0.25">
      <c r="E2115" t="s">
        <v>149</v>
      </c>
    </row>
    <row r="2116" spans="5:5" x14ac:dyDescent="0.25">
      <c r="E2116" t="s">
        <v>149</v>
      </c>
    </row>
    <row r="2117" spans="5:5" x14ac:dyDescent="0.25">
      <c r="E2117" t="s">
        <v>149</v>
      </c>
    </row>
    <row r="2118" spans="5:5" x14ac:dyDescent="0.25">
      <c r="E2118" t="s">
        <v>149</v>
      </c>
    </row>
    <row r="2119" spans="5:5" x14ac:dyDescent="0.25">
      <c r="E2119" t="s">
        <v>149</v>
      </c>
    </row>
    <row r="2120" spans="5:5" x14ac:dyDescent="0.25">
      <c r="E2120" t="s">
        <v>149</v>
      </c>
    </row>
    <row r="2121" spans="5:5" x14ac:dyDescent="0.25">
      <c r="E2121" t="s">
        <v>149</v>
      </c>
    </row>
    <row r="2122" spans="5:5" x14ac:dyDescent="0.25">
      <c r="E2122" t="s">
        <v>149</v>
      </c>
    </row>
    <row r="2123" spans="5:5" x14ac:dyDescent="0.25">
      <c r="E2123" t="s">
        <v>149</v>
      </c>
    </row>
    <row r="2124" spans="5:5" x14ac:dyDescent="0.25">
      <c r="E2124" t="s">
        <v>149</v>
      </c>
    </row>
    <row r="2125" spans="5:5" x14ac:dyDescent="0.25">
      <c r="E2125" t="s">
        <v>149</v>
      </c>
    </row>
    <row r="2126" spans="5:5" x14ac:dyDescent="0.25">
      <c r="E2126" t="s">
        <v>149</v>
      </c>
    </row>
    <row r="2127" spans="5:5" x14ac:dyDescent="0.25">
      <c r="E2127" t="s">
        <v>149</v>
      </c>
    </row>
    <row r="2128" spans="5:5" x14ac:dyDescent="0.25">
      <c r="E2128" t="s">
        <v>149</v>
      </c>
    </row>
    <row r="2129" spans="5:5" x14ac:dyDescent="0.25">
      <c r="E2129" t="s">
        <v>149</v>
      </c>
    </row>
    <row r="2130" spans="5:5" x14ac:dyDescent="0.25">
      <c r="E2130" t="s">
        <v>149</v>
      </c>
    </row>
    <row r="2131" spans="5:5" x14ac:dyDescent="0.25">
      <c r="E2131" t="s">
        <v>149</v>
      </c>
    </row>
    <row r="2132" spans="5:5" x14ac:dyDescent="0.25">
      <c r="E2132" t="s">
        <v>149</v>
      </c>
    </row>
    <row r="2133" spans="5:5" x14ac:dyDescent="0.25">
      <c r="E2133" t="s">
        <v>149</v>
      </c>
    </row>
    <row r="2134" spans="5:5" x14ac:dyDescent="0.25">
      <c r="E2134" t="s">
        <v>149</v>
      </c>
    </row>
    <row r="2135" spans="5:5" x14ac:dyDescent="0.25">
      <c r="E2135" t="s">
        <v>149</v>
      </c>
    </row>
    <row r="2136" spans="5:5" x14ac:dyDescent="0.25">
      <c r="E2136" t="s">
        <v>149</v>
      </c>
    </row>
    <row r="2137" spans="5:5" x14ac:dyDescent="0.25">
      <c r="E2137" t="s">
        <v>149</v>
      </c>
    </row>
    <row r="2138" spans="5:5" x14ac:dyDescent="0.25">
      <c r="E2138" t="s">
        <v>149</v>
      </c>
    </row>
    <row r="2139" spans="5:5" x14ac:dyDescent="0.25">
      <c r="E2139" t="s">
        <v>149</v>
      </c>
    </row>
    <row r="2140" spans="5:5" x14ac:dyDescent="0.25">
      <c r="E2140" t="s">
        <v>149</v>
      </c>
    </row>
    <row r="2141" spans="5:5" x14ac:dyDescent="0.25">
      <c r="E2141" t="s">
        <v>149</v>
      </c>
    </row>
    <row r="2142" spans="5:5" x14ac:dyDescent="0.25">
      <c r="E2142" t="s">
        <v>149</v>
      </c>
    </row>
    <row r="2143" spans="5:5" x14ac:dyDescent="0.25">
      <c r="E2143" t="s">
        <v>149</v>
      </c>
    </row>
    <row r="2144" spans="5:5" x14ac:dyDescent="0.25">
      <c r="E2144" t="s">
        <v>149</v>
      </c>
    </row>
    <row r="2145" spans="5:5" x14ac:dyDescent="0.25">
      <c r="E2145" t="s">
        <v>149</v>
      </c>
    </row>
    <row r="2146" spans="5:5" x14ac:dyDescent="0.25">
      <c r="E2146" t="s">
        <v>149</v>
      </c>
    </row>
    <row r="2147" spans="5:5" x14ac:dyDescent="0.25">
      <c r="E2147" t="s">
        <v>149</v>
      </c>
    </row>
    <row r="2148" spans="5:5" x14ac:dyDescent="0.25">
      <c r="E2148" t="s">
        <v>149</v>
      </c>
    </row>
    <row r="2149" spans="5:5" x14ac:dyDescent="0.25">
      <c r="E2149" t="s">
        <v>149</v>
      </c>
    </row>
    <row r="2150" spans="5:5" x14ac:dyDescent="0.25">
      <c r="E2150" t="s">
        <v>149</v>
      </c>
    </row>
    <row r="2151" spans="5:5" x14ac:dyDescent="0.25">
      <c r="E2151" t="s">
        <v>149</v>
      </c>
    </row>
    <row r="2152" spans="5:5" x14ac:dyDescent="0.25">
      <c r="E2152" t="s">
        <v>149</v>
      </c>
    </row>
    <row r="2153" spans="5:5" x14ac:dyDescent="0.25">
      <c r="E2153" t="s">
        <v>149</v>
      </c>
    </row>
    <row r="2154" spans="5:5" x14ac:dyDescent="0.25">
      <c r="E2154" t="s">
        <v>149</v>
      </c>
    </row>
    <row r="2155" spans="5:5" x14ac:dyDescent="0.25">
      <c r="E2155" t="s">
        <v>149</v>
      </c>
    </row>
    <row r="2156" spans="5:5" x14ac:dyDescent="0.25">
      <c r="E2156" t="s">
        <v>149</v>
      </c>
    </row>
    <row r="2157" spans="5:5" x14ac:dyDescent="0.25">
      <c r="E2157" t="s">
        <v>149</v>
      </c>
    </row>
    <row r="2158" spans="5:5" x14ac:dyDescent="0.25">
      <c r="E2158" t="s">
        <v>149</v>
      </c>
    </row>
    <row r="2159" spans="5:5" x14ac:dyDescent="0.25">
      <c r="E2159" t="s">
        <v>149</v>
      </c>
    </row>
    <row r="2160" spans="5:5" x14ac:dyDescent="0.25">
      <c r="E2160" t="s">
        <v>149</v>
      </c>
    </row>
    <row r="2161" spans="5:5" x14ac:dyDescent="0.25">
      <c r="E2161" t="s">
        <v>149</v>
      </c>
    </row>
    <row r="2162" spans="5:5" x14ac:dyDescent="0.25">
      <c r="E2162" t="s">
        <v>149</v>
      </c>
    </row>
    <row r="2163" spans="5:5" x14ac:dyDescent="0.25">
      <c r="E2163" t="s">
        <v>149</v>
      </c>
    </row>
    <row r="2164" spans="5:5" x14ac:dyDescent="0.25">
      <c r="E2164" t="s">
        <v>149</v>
      </c>
    </row>
    <row r="2165" spans="5:5" x14ac:dyDescent="0.25">
      <c r="E2165" t="s">
        <v>149</v>
      </c>
    </row>
    <row r="2166" spans="5:5" x14ac:dyDescent="0.25">
      <c r="E2166" t="s">
        <v>149</v>
      </c>
    </row>
    <row r="2167" spans="5:5" x14ac:dyDescent="0.25">
      <c r="E2167" t="s">
        <v>149</v>
      </c>
    </row>
    <row r="2168" spans="5:5" x14ac:dyDescent="0.25">
      <c r="E2168" t="s">
        <v>149</v>
      </c>
    </row>
    <row r="2169" spans="5:5" x14ac:dyDescent="0.25">
      <c r="E2169" t="s">
        <v>149</v>
      </c>
    </row>
    <row r="2170" spans="5:5" x14ac:dyDescent="0.25">
      <c r="E2170" t="s">
        <v>149</v>
      </c>
    </row>
    <row r="2171" spans="5:5" x14ac:dyDescent="0.25">
      <c r="E2171" t="s">
        <v>149</v>
      </c>
    </row>
    <row r="2172" spans="5:5" x14ac:dyDescent="0.25">
      <c r="E2172" t="s">
        <v>149</v>
      </c>
    </row>
    <row r="2173" spans="5:5" x14ac:dyDescent="0.25">
      <c r="E2173" t="s">
        <v>149</v>
      </c>
    </row>
    <row r="2174" spans="5:5" x14ac:dyDescent="0.25">
      <c r="E2174" t="s">
        <v>149</v>
      </c>
    </row>
    <row r="2175" spans="5:5" x14ac:dyDescent="0.25">
      <c r="E2175" t="s">
        <v>149</v>
      </c>
    </row>
    <row r="2176" spans="5:5" x14ac:dyDescent="0.25">
      <c r="E2176" t="s">
        <v>149</v>
      </c>
    </row>
    <row r="2177" spans="5:5" x14ac:dyDescent="0.25">
      <c r="E2177" t="s">
        <v>149</v>
      </c>
    </row>
    <row r="2178" spans="5:5" x14ac:dyDescent="0.25">
      <c r="E2178" t="s">
        <v>149</v>
      </c>
    </row>
    <row r="2179" spans="5:5" x14ac:dyDescent="0.25">
      <c r="E2179" t="s">
        <v>149</v>
      </c>
    </row>
    <row r="2180" spans="5:5" x14ac:dyDescent="0.25">
      <c r="E2180" t="s">
        <v>149</v>
      </c>
    </row>
    <row r="2181" spans="5:5" x14ac:dyDescent="0.25">
      <c r="E2181" t="s">
        <v>149</v>
      </c>
    </row>
    <row r="2182" spans="5:5" x14ac:dyDescent="0.25">
      <c r="E2182" t="s">
        <v>149</v>
      </c>
    </row>
    <row r="2183" spans="5:5" x14ac:dyDescent="0.25">
      <c r="E2183" t="s">
        <v>149</v>
      </c>
    </row>
    <row r="2184" spans="5:5" x14ac:dyDescent="0.25">
      <c r="E2184" t="s">
        <v>149</v>
      </c>
    </row>
    <row r="2185" spans="5:5" x14ac:dyDescent="0.25">
      <c r="E2185" t="s">
        <v>149</v>
      </c>
    </row>
    <row r="2186" spans="5:5" x14ac:dyDescent="0.25">
      <c r="E2186" t="s">
        <v>149</v>
      </c>
    </row>
    <row r="2187" spans="5:5" x14ac:dyDescent="0.25">
      <c r="E2187" t="s">
        <v>149</v>
      </c>
    </row>
    <row r="2188" spans="5:5" x14ac:dyDescent="0.25">
      <c r="E2188" t="s">
        <v>149</v>
      </c>
    </row>
    <row r="2189" spans="5:5" x14ac:dyDescent="0.25">
      <c r="E2189" t="s">
        <v>149</v>
      </c>
    </row>
    <row r="2190" spans="5:5" x14ac:dyDescent="0.25">
      <c r="E2190" t="s">
        <v>149</v>
      </c>
    </row>
    <row r="2191" spans="5:5" x14ac:dyDescent="0.25">
      <c r="E2191" t="s">
        <v>149</v>
      </c>
    </row>
    <row r="2192" spans="5:5" x14ac:dyDescent="0.25">
      <c r="E2192" t="s">
        <v>149</v>
      </c>
    </row>
    <row r="2193" spans="5:5" x14ac:dyDescent="0.25">
      <c r="E2193" t="s">
        <v>149</v>
      </c>
    </row>
    <row r="2194" spans="5:5" x14ac:dyDescent="0.25">
      <c r="E2194" t="s">
        <v>149</v>
      </c>
    </row>
    <row r="2195" spans="5:5" x14ac:dyDescent="0.25">
      <c r="E2195" t="s">
        <v>149</v>
      </c>
    </row>
    <row r="2196" spans="5:5" x14ac:dyDescent="0.25">
      <c r="E2196" t="s">
        <v>149</v>
      </c>
    </row>
    <row r="2197" spans="5:5" x14ac:dyDescent="0.25">
      <c r="E2197" t="s">
        <v>149</v>
      </c>
    </row>
    <row r="2198" spans="5:5" x14ac:dyDescent="0.25">
      <c r="E2198" t="s">
        <v>149</v>
      </c>
    </row>
    <row r="2199" spans="5:5" x14ac:dyDescent="0.25">
      <c r="E2199" t="s">
        <v>149</v>
      </c>
    </row>
    <row r="2200" spans="5:5" x14ac:dyDescent="0.25">
      <c r="E2200" t="s">
        <v>149</v>
      </c>
    </row>
    <row r="2201" spans="5:5" x14ac:dyDescent="0.25">
      <c r="E2201" t="s">
        <v>149</v>
      </c>
    </row>
    <row r="2202" spans="5:5" x14ac:dyDescent="0.25">
      <c r="E2202" t="s">
        <v>149</v>
      </c>
    </row>
    <row r="2203" spans="5:5" x14ac:dyDescent="0.25">
      <c r="E2203" t="s">
        <v>149</v>
      </c>
    </row>
    <row r="2204" spans="5:5" x14ac:dyDescent="0.25">
      <c r="E2204" t="s">
        <v>149</v>
      </c>
    </row>
    <row r="2205" spans="5:5" x14ac:dyDescent="0.25">
      <c r="E2205" t="s">
        <v>149</v>
      </c>
    </row>
    <row r="2206" spans="5:5" x14ac:dyDescent="0.25">
      <c r="E2206" t="s">
        <v>149</v>
      </c>
    </row>
    <row r="2207" spans="5:5" x14ac:dyDescent="0.25">
      <c r="E2207" t="s">
        <v>149</v>
      </c>
    </row>
    <row r="2208" spans="5:5" x14ac:dyDescent="0.25">
      <c r="E2208" t="s">
        <v>149</v>
      </c>
    </row>
    <row r="2209" spans="5:5" x14ac:dyDescent="0.25">
      <c r="E2209" t="s">
        <v>149</v>
      </c>
    </row>
    <row r="2210" spans="5:5" x14ac:dyDescent="0.25">
      <c r="E2210" t="s">
        <v>149</v>
      </c>
    </row>
    <row r="2211" spans="5:5" x14ac:dyDescent="0.25">
      <c r="E2211" t="s">
        <v>149</v>
      </c>
    </row>
    <row r="2212" spans="5:5" x14ac:dyDescent="0.25">
      <c r="E2212" t="s">
        <v>149</v>
      </c>
    </row>
    <row r="2213" spans="5:5" x14ac:dyDescent="0.25">
      <c r="E2213" t="s">
        <v>149</v>
      </c>
    </row>
    <row r="2214" spans="5:5" x14ac:dyDescent="0.25">
      <c r="E2214" t="s">
        <v>149</v>
      </c>
    </row>
    <row r="2215" spans="5:5" x14ac:dyDescent="0.25">
      <c r="E2215" t="s">
        <v>149</v>
      </c>
    </row>
    <row r="2216" spans="5:5" x14ac:dyDescent="0.25">
      <c r="E2216" t="s">
        <v>149</v>
      </c>
    </row>
    <row r="2217" spans="5:5" x14ac:dyDescent="0.25">
      <c r="E2217" t="s">
        <v>149</v>
      </c>
    </row>
    <row r="2218" spans="5:5" x14ac:dyDescent="0.25">
      <c r="E2218" t="s">
        <v>149</v>
      </c>
    </row>
    <row r="2219" spans="5:5" x14ac:dyDescent="0.25">
      <c r="E2219" t="s">
        <v>149</v>
      </c>
    </row>
    <row r="2220" spans="5:5" x14ac:dyDescent="0.25">
      <c r="E2220" t="s">
        <v>149</v>
      </c>
    </row>
    <row r="2221" spans="5:5" x14ac:dyDescent="0.25">
      <c r="E2221" t="s">
        <v>149</v>
      </c>
    </row>
    <row r="2222" spans="5:5" x14ac:dyDescent="0.25">
      <c r="E2222" t="s">
        <v>149</v>
      </c>
    </row>
    <row r="2223" spans="5:5" x14ac:dyDescent="0.25">
      <c r="E2223" t="s">
        <v>149</v>
      </c>
    </row>
    <row r="2224" spans="5:5" x14ac:dyDescent="0.25">
      <c r="E2224" t="s">
        <v>149</v>
      </c>
    </row>
    <row r="2225" spans="5:5" x14ac:dyDescent="0.25">
      <c r="E2225" t="s">
        <v>149</v>
      </c>
    </row>
    <row r="2226" spans="5:5" x14ac:dyDescent="0.25">
      <c r="E2226" t="s">
        <v>149</v>
      </c>
    </row>
    <row r="2227" spans="5:5" x14ac:dyDescent="0.25">
      <c r="E2227" t="s">
        <v>149</v>
      </c>
    </row>
    <row r="2228" spans="5:5" x14ac:dyDescent="0.25">
      <c r="E2228" t="s">
        <v>149</v>
      </c>
    </row>
    <row r="2229" spans="5:5" x14ac:dyDescent="0.25">
      <c r="E2229" t="s">
        <v>149</v>
      </c>
    </row>
    <row r="2230" spans="5:5" x14ac:dyDescent="0.25">
      <c r="E2230" t="s">
        <v>149</v>
      </c>
    </row>
    <row r="2231" spans="5:5" x14ac:dyDescent="0.25">
      <c r="E2231" t="s">
        <v>149</v>
      </c>
    </row>
    <row r="2232" spans="5:5" x14ac:dyDescent="0.25">
      <c r="E2232" t="s">
        <v>149</v>
      </c>
    </row>
    <row r="2233" spans="5:5" x14ac:dyDescent="0.25">
      <c r="E2233" t="s">
        <v>149</v>
      </c>
    </row>
    <row r="2234" spans="5:5" x14ac:dyDescent="0.25">
      <c r="E2234" t="s">
        <v>149</v>
      </c>
    </row>
    <row r="2235" spans="5:5" x14ac:dyDescent="0.25">
      <c r="E2235" t="s">
        <v>149</v>
      </c>
    </row>
    <row r="2236" spans="5:5" x14ac:dyDescent="0.25">
      <c r="E2236" t="s">
        <v>149</v>
      </c>
    </row>
    <row r="2237" spans="5:5" x14ac:dyDescent="0.25">
      <c r="E2237" t="s">
        <v>149</v>
      </c>
    </row>
    <row r="2238" spans="5:5" x14ac:dyDescent="0.25">
      <c r="E2238" t="s">
        <v>149</v>
      </c>
    </row>
    <row r="2239" spans="5:5" x14ac:dyDescent="0.25">
      <c r="E2239" t="s">
        <v>149</v>
      </c>
    </row>
    <row r="2240" spans="5:5" x14ac:dyDescent="0.25">
      <c r="E2240" t="s">
        <v>149</v>
      </c>
    </row>
    <row r="2241" spans="5:5" x14ac:dyDescent="0.25">
      <c r="E2241" t="s">
        <v>149</v>
      </c>
    </row>
    <row r="2242" spans="5:5" x14ac:dyDescent="0.25">
      <c r="E2242" t="s">
        <v>149</v>
      </c>
    </row>
    <row r="2243" spans="5:5" x14ac:dyDescent="0.25">
      <c r="E2243" t="s">
        <v>149</v>
      </c>
    </row>
    <row r="2244" spans="5:5" x14ac:dyDescent="0.25">
      <c r="E2244" t="s">
        <v>149</v>
      </c>
    </row>
    <row r="2245" spans="5:5" x14ac:dyDescent="0.25">
      <c r="E2245" t="s">
        <v>149</v>
      </c>
    </row>
    <row r="2246" spans="5:5" x14ac:dyDescent="0.25">
      <c r="E2246" t="s">
        <v>149</v>
      </c>
    </row>
    <row r="2247" spans="5:5" x14ac:dyDescent="0.25">
      <c r="E2247" t="s">
        <v>149</v>
      </c>
    </row>
    <row r="2248" spans="5:5" x14ac:dyDescent="0.25">
      <c r="E2248" t="s">
        <v>149</v>
      </c>
    </row>
    <row r="2249" spans="5:5" x14ac:dyDescent="0.25">
      <c r="E2249" t="s">
        <v>149</v>
      </c>
    </row>
    <row r="2250" spans="5:5" x14ac:dyDescent="0.25">
      <c r="E2250" t="s">
        <v>149</v>
      </c>
    </row>
    <row r="2251" spans="5:5" x14ac:dyDescent="0.25">
      <c r="E2251" t="s">
        <v>149</v>
      </c>
    </row>
    <row r="2252" spans="5:5" x14ac:dyDescent="0.25">
      <c r="E2252" t="s">
        <v>149</v>
      </c>
    </row>
    <row r="2253" spans="5:5" x14ac:dyDescent="0.25">
      <c r="E2253" t="s">
        <v>149</v>
      </c>
    </row>
    <row r="2254" spans="5:5" x14ac:dyDescent="0.25">
      <c r="E2254" t="s">
        <v>149</v>
      </c>
    </row>
    <row r="2255" spans="5:5" x14ac:dyDescent="0.25">
      <c r="E2255" t="s">
        <v>149</v>
      </c>
    </row>
    <row r="2256" spans="5:5" x14ac:dyDescent="0.25">
      <c r="E2256" t="s">
        <v>149</v>
      </c>
    </row>
    <row r="2257" spans="5:5" x14ac:dyDescent="0.25">
      <c r="E2257" t="s">
        <v>149</v>
      </c>
    </row>
    <row r="2258" spans="5:5" x14ac:dyDescent="0.25">
      <c r="E2258" t="s">
        <v>149</v>
      </c>
    </row>
    <row r="2259" spans="5:5" x14ac:dyDescent="0.25">
      <c r="E2259" t="s">
        <v>149</v>
      </c>
    </row>
    <row r="2260" spans="5:5" x14ac:dyDescent="0.25">
      <c r="E2260" t="s">
        <v>149</v>
      </c>
    </row>
    <row r="2261" spans="5:5" x14ac:dyDescent="0.25">
      <c r="E2261" t="s">
        <v>149</v>
      </c>
    </row>
    <row r="2262" spans="5:5" x14ac:dyDescent="0.25">
      <c r="E2262" t="s">
        <v>149</v>
      </c>
    </row>
    <row r="2263" spans="5:5" x14ac:dyDescent="0.25">
      <c r="E2263" t="s">
        <v>149</v>
      </c>
    </row>
    <row r="2264" spans="5:5" x14ac:dyDescent="0.25">
      <c r="E2264" t="s">
        <v>149</v>
      </c>
    </row>
    <row r="2265" spans="5:5" x14ac:dyDescent="0.25">
      <c r="E2265" t="s">
        <v>149</v>
      </c>
    </row>
    <row r="2266" spans="5:5" x14ac:dyDescent="0.25">
      <c r="E2266" t="s">
        <v>149</v>
      </c>
    </row>
    <row r="2267" spans="5:5" x14ac:dyDescent="0.25">
      <c r="E2267" t="s">
        <v>149</v>
      </c>
    </row>
    <row r="2268" spans="5:5" x14ac:dyDescent="0.25">
      <c r="E2268" t="s">
        <v>149</v>
      </c>
    </row>
    <row r="2269" spans="5:5" x14ac:dyDescent="0.25">
      <c r="E2269" t="s">
        <v>149</v>
      </c>
    </row>
    <row r="2270" spans="5:5" x14ac:dyDescent="0.25">
      <c r="E2270" t="s">
        <v>149</v>
      </c>
    </row>
    <row r="2271" spans="5:5" x14ac:dyDescent="0.25">
      <c r="E2271" t="s">
        <v>149</v>
      </c>
    </row>
    <row r="2272" spans="5:5" x14ac:dyDescent="0.25">
      <c r="E2272" t="s">
        <v>149</v>
      </c>
    </row>
    <row r="2273" spans="5:5" x14ac:dyDescent="0.25">
      <c r="E2273" t="s">
        <v>149</v>
      </c>
    </row>
    <row r="2274" spans="5:5" x14ac:dyDescent="0.25">
      <c r="E2274" t="s">
        <v>149</v>
      </c>
    </row>
    <row r="2275" spans="5:5" x14ac:dyDescent="0.25">
      <c r="E2275" t="s">
        <v>149</v>
      </c>
    </row>
    <row r="2276" spans="5:5" x14ac:dyDescent="0.25">
      <c r="E2276" t="s">
        <v>149</v>
      </c>
    </row>
    <row r="2277" spans="5:5" x14ac:dyDescent="0.25">
      <c r="E2277" t="s">
        <v>149</v>
      </c>
    </row>
    <row r="2278" spans="5:5" x14ac:dyDescent="0.25">
      <c r="E2278" t="s">
        <v>149</v>
      </c>
    </row>
    <row r="2279" spans="5:5" x14ac:dyDescent="0.25">
      <c r="E2279" t="s">
        <v>149</v>
      </c>
    </row>
    <row r="2280" spans="5:5" x14ac:dyDescent="0.25">
      <c r="E2280" t="s">
        <v>149</v>
      </c>
    </row>
    <row r="2281" spans="5:5" x14ac:dyDescent="0.25">
      <c r="E2281" t="s">
        <v>149</v>
      </c>
    </row>
    <row r="2282" spans="5:5" x14ac:dyDescent="0.25">
      <c r="E2282" t="s">
        <v>149</v>
      </c>
    </row>
    <row r="2283" spans="5:5" x14ac:dyDescent="0.25">
      <c r="E2283" t="s">
        <v>149</v>
      </c>
    </row>
    <row r="2284" spans="5:5" x14ac:dyDescent="0.25">
      <c r="E2284" t="s">
        <v>149</v>
      </c>
    </row>
    <row r="2285" spans="5:5" x14ac:dyDescent="0.25">
      <c r="E2285" t="s">
        <v>149</v>
      </c>
    </row>
    <row r="2286" spans="5:5" x14ac:dyDescent="0.25">
      <c r="E2286" t="s">
        <v>149</v>
      </c>
    </row>
    <row r="2287" spans="5:5" x14ac:dyDescent="0.25">
      <c r="E2287" t="s">
        <v>149</v>
      </c>
    </row>
    <row r="2288" spans="5:5" x14ac:dyDescent="0.25">
      <c r="E2288" t="s">
        <v>149</v>
      </c>
    </row>
    <row r="2289" spans="5:5" x14ac:dyDescent="0.25">
      <c r="E2289" t="s">
        <v>149</v>
      </c>
    </row>
    <row r="2290" spans="5:5" x14ac:dyDescent="0.25">
      <c r="E2290" t="s">
        <v>149</v>
      </c>
    </row>
    <row r="2291" spans="5:5" x14ac:dyDescent="0.25">
      <c r="E2291" t="s">
        <v>149</v>
      </c>
    </row>
    <row r="2292" spans="5:5" x14ac:dyDescent="0.25">
      <c r="E2292" t="s">
        <v>149</v>
      </c>
    </row>
    <row r="2293" spans="5:5" x14ac:dyDescent="0.25">
      <c r="E2293" t="s">
        <v>149</v>
      </c>
    </row>
    <row r="2294" spans="5:5" x14ac:dyDescent="0.25">
      <c r="E2294" t="s">
        <v>149</v>
      </c>
    </row>
    <row r="2295" spans="5:5" x14ac:dyDescent="0.25">
      <c r="E2295" t="s">
        <v>149</v>
      </c>
    </row>
    <row r="2296" spans="5:5" x14ac:dyDescent="0.25">
      <c r="E2296" t="s">
        <v>149</v>
      </c>
    </row>
    <row r="2297" spans="5:5" x14ac:dyDescent="0.25">
      <c r="E2297" t="s">
        <v>149</v>
      </c>
    </row>
    <row r="2298" spans="5:5" x14ac:dyDescent="0.25">
      <c r="E2298" t="s">
        <v>149</v>
      </c>
    </row>
    <row r="2299" spans="5:5" x14ac:dyDescent="0.25">
      <c r="E2299" t="s">
        <v>149</v>
      </c>
    </row>
    <row r="2300" spans="5:5" x14ac:dyDescent="0.25">
      <c r="E2300" t="s">
        <v>149</v>
      </c>
    </row>
    <row r="2301" spans="5:5" x14ac:dyDescent="0.25">
      <c r="E2301" t="s">
        <v>149</v>
      </c>
    </row>
    <row r="2302" spans="5:5" x14ac:dyDescent="0.25">
      <c r="E2302" t="s">
        <v>149</v>
      </c>
    </row>
    <row r="2303" spans="5:5" x14ac:dyDescent="0.25">
      <c r="E2303" t="s">
        <v>149</v>
      </c>
    </row>
    <row r="2304" spans="5:5" x14ac:dyDescent="0.25">
      <c r="E2304" t="s">
        <v>149</v>
      </c>
    </row>
    <row r="2305" spans="5:5" x14ac:dyDescent="0.25">
      <c r="E2305" t="s">
        <v>149</v>
      </c>
    </row>
    <row r="2306" spans="5:5" x14ac:dyDescent="0.25">
      <c r="E2306" t="s">
        <v>149</v>
      </c>
    </row>
    <row r="2307" spans="5:5" x14ac:dyDescent="0.25">
      <c r="E2307" t="s">
        <v>149</v>
      </c>
    </row>
    <row r="2308" spans="5:5" x14ac:dyDescent="0.25">
      <c r="E2308" t="s">
        <v>149</v>
      </c>
    </row>
    <row r="2309" spans="5:5" x14ac:dyDescent="0.25">
      <c r="E2309" t="s">
        <v>149</v>
      </c>
    </row>
    <row r="2310" spans="5:5" x14ac:dyDescent="0.25">
      <c r="E2310" t="s">
        <v>149</v>
      </c>
    </row>
    <row r="2311" spans="5:5" x14ac:dyDescent="0.25">
      <c r="E2311" t="s">
        <v>149</v>
      </c>
    </row>
    <row r="2312" spans="5:5" x14ac:dyDescent="0.25">
      <c r="E2312" t="s">
        <v>149</v>
      </c>
    </row>
    <row r="2313" spans="5:5" x14ac:dyDescent="0.25">
      <c r="E2313" t="s">
        <v>149</v>
      </c>
    </row>
    <row r="2314" spans="5:5" x14ac:dyDescent="0.25">
      <c r="E2314" t="s">
        <v>149</v>
      </c>
    </row>
    <row r="2315" spans="5:5" x14ac:dyDescent="0.25">
      <c r="E2315" t="s">
        <v>149</v>
      </c>
    </row>
    <row r="2316" spans="5:5" x14ac:dyDescent="0.25">
      <c r="E2316" t="s">
        <v>149</v>
      </c>
    </row>
    <row r="2317" spans="5:5" x14ac:dyDescent="0.25">
      <c r="E2317" t="s">
        <v>149</v>
      </c>
    </row>
    <row r="2318" spans="5:5" x14ac:dyDescent="0.25">
      <c r="E2318" t="s">
        <v>149</v>
      </c>
    </row>
    <row r="2319" spans="5:5" x14ac:dyDescent="0.25">
      <c r="E2319" t="s">
        <v>149</v>
      </c>
    </row>
    <row r="2320" spans="5:5" x14ac:dyDescent="0.25">
      <c r="E2320" t="s">
        <v>149</v>
      </c>
    </row>
    <row r="2321" spans="5:5" x14ac:dyDescent="0.25">
      <c r="E2321" t="s">
        <v>149</v>
      </c>
    </row>
    <row r="2322" spans="5:5" x14ac:dyDescent="0.25">
      <c r="E2322" t="s">
        <v>149</v>
      </c>
    </row>
    <row r="2323" spans="5:5" x14ac:dyDescent="0.25">
      <c r="E2323" t="s">
        <v>149</v>
      </c>
    </row>
    <row r="2324" spans="5:5" x14ac:dyDescent="0.25">
      <c r="E2324" t="s">
        <v>149</v>
      </c>
    </row>
    <row r="2325" spans="5:5" x14ac:dyDescent="0.25">
      <c r="E2325" t="s">
        <v>149</v>
      </c>
    </row>
    <row r="2326" spans="5:5" x14ac:dyDescent="0.25">
      <c r="E2326" t="s">
        <v>149</v>
      </c>
    </row>
    <row r="2327" spans="5:5" x14ac:dyDescent="0.25">
      <c r="E2327" t="s">
        <v>149</v>
      </c>
    </row>
    <row r="2328" spans="5:5" x14ac:dyDescent="0.25">
      <c r="E2328" t="s">
        <v>149</v>
      </c>
    </row>
    <row r="2329" spans="5:5" x14ac:dyDescent="0.25">
      <c r="E2329" t="s">
        <v>149</v>
      </c>
    </row>
    <row r="2330" spans="5:5" x14ac:dyDescent="0.25">
      <c r="E2330" t="s">
        <v>149</v>
      </c>
    </row>
    <row r="2331" spans="5:5" x14ac:dyDescent="0.25">
      <c r="E2331" t="s">
        <v>149</v>
      </c>
    </row>
    <row r="2332" spans="5:5" x14ac:dyDescent="0.25">
      <c r="E2332" t="s">
        <v>149</v>
      </c>
    </row>
    <row r="2333" spans="5:5" x14ac:dyDescent="0.25">
      <c r="E2333" t="s">
        <v>149</v>
      </c>
    </row>
    <row r="2334" spans="5:5" x14ac:dyDescent="0.25">
      <c r="E2334" t="s">
        <v>149</v>
      </c>
    </row>
    <row r="2335" spans="5:5" x14ac:dyDescent="0.25">
      <c r="E2335" t="s">
        <v>149</v>
      </c>
    </row>
    <row r="2336" spans="5:5" x14ac:dyDescent="0.25">
      <c r="E2336" t="s">
        <v>149</v>
      </c>
    </row>
    <row r="2337" spans="5:5" x14ac:dyDescent="0.25">
      <c r="E2337" t="s">
        <v>149</v>
      </c>
    </row>
    <row r="2338" spans="5:5" x14ac:dyDescent="0.25">
      <c r="E2338" t="s">
        <v>149</v>
      </c>
    </row>
    <row r="2339" spans="5:5" x14ac:dyDescent="0.25">
      <c r="E2339" t="s">
        <v>149</v>
      </c>
    </row>
    <row r="2340" spans="5:5" x14ac:dyDescent="0.25">
      <c r="E2340" t="s">
        <v>149</v>
      </c>
    </row>
    <row r="2341" spans="5:5" x14ac:dyDescent="0.25">
      <c r="E2341" t="s">
        <v>149</v>
      </c>
    </row>
    <row r="2342" spans="5:5" x14ac:dyDescent="0.25">
      <c r="E2342" t="s">
        <v>149</v>
      </c>
    </row>
    <row r="2343" spans="5:5" x14ac:dyDescent="0.25">
      <c r="E2343" t="s">
        <v>149</v>
      </c>
    </row>
    <row r="2344" spans="5:5" x14ac:dyDescent="0.25">
      <c r="E2344" t="s">
        <v>149</v>
      </c>
    </row>
    <row r="2345" spans="5:5" x14ac:dyDescent="0.25">
      <c r="E2345" t="s">
        <v>149</v>
      </c>
    </row>
    <row r="2346" spans="5:5" x14ac:dyDescent="0.25">
      <c r="E2346" t="s">
        <v>149</v>
      </c>
    </row>
    <row r="2347" spans="5:5" x14ac:dyDescent="0.25">
      <c r="E2347" t="s">
        <v>149</v>
      </c>
    </row>
    <row r="2348" spans="5:5" x14ac:dyDescent="0.25">
      <c r="E2348" t="s">
        <v>149</v>
      </c>
    </row>
    <row r="2349" spans="5:5" x14ac:dyDescent="0.25">
      <c r="E2349" t="s">
        <v>149</v>
      </c>
    </row>
    <row r="2350" spans="5:5" x14ac:dyDescent="0.25">
      <c r="E2350" t="s">
        <v>149</v>
      </c>
    </row>
    <row r="2351" spans="5:5" x14ac:dyDescent="0.25">
      <c r="E2351" t="s">
        <v>149</v>
      </c>
    </row>
    <row r="2352" spans="5:5" x14ac:dyDescent="0.25">
      <c r="E2352" t="s">
        <v>149</v>
      </c>
    </row>
    <row r="2353" spans="5:5" x14ac:dyDescent="0.25">
      <c r="E2353" t="s">
        <v>149</v>
      </c>
    </row>
    <row r="2354" spans="5:5" x14ac:dyDescent="0.25">
      <c r="E2354" t="s">
        <v>149</v>
      </c>
    </row>
    <row r="2355" spans="5:5" x14ac:dyDescent="0.25">
      <c r="E2355" t="s">
        <v>149</v>
      </c>
    </row>
    <row r="2356" spans="5:5" x14ac:dyDescent="0.25">
      <c r="E2356" t="s">
        <v>149</v>
      </c>
    </row>
    <row r="2357" spans="5:5" x14ac:dyDescent="0.25">
      <c r="E2357" t="s">
        <v>149</v>
      </c>
    </row>
    <row r="2358" spans="5:5" x14ac:dyDescent="0.25">
      <c r="E2358" t="s">
        <v>149</v>
      </c>
    </row>
    <row r="2359" spans="5:5" x14ac:dyDescent="0.25">
      <c r="E2359" t="s">
        <v>149</v>
      </c>
    </row>
    <row r="2360" spans="5:5" x14ac:dyDescent="0.25">
      <c r="E2360" t="s">
        <v>149</v>
      </c>
    </row>
    <row r="2361" spans="5:5" x14ac:dyDescent="0.25">
      <c r="E2361" t="s">
        <v>149</v>
      </c>
    </row>
    <row r="2362" spans="5:5" x14ac:dyDescent="0.25">
      <c r="E2362" t="s">
        <v>149</v>
      </c>
    </row>
    <row r="2363" spans="5:5" x14ac:dyDescent="0.25">
      <c r="E2363" t="s">
        <v>149</v>
      </c>
    </row>
    <row r="2364" spans="5:5" x14ac:dyDescent="0.25">
      <c r="E2364" t="s">
        <v>149</v>
      </c>
    </row>
    <row r="2365" spans="5:5" x14ac:dyDescent="0.25">
      <c r="E2365" t="s">
        <v>149</v>
      </c>
    </row>
    <row r="2366" spans="5:5" x14ac:dyDescent="0.25">
      <c r="E2366" t="s">
        <v>149</v>
      </c>
    </row>
    <row r="2367" spans="5:5" x14ac:dyDescent="0.25">
      <c r="E2367" t="s">
        <v>149</v>
      </c>
    </row>
    <row r="2368" spans="5:5" x14ac:dyDescent="0.25">
      <c r="E2368" t="s">
        <v>149</v>
      </c>
    </row>
    <row r="2369" spans="5:5" x14ac:dyDescent="0.25">
      <c r="E2369" t="s">
        <v>149</v>
      </c>
    </row>
    <row r="2370" spans="5:5" x14ac:dyDescent="0.25">
      <c r="E2370" t="s">
        <v>149</v>
      </c>
    </row>
    <row r="2371" spans="5:5" x14ac:dyDescent="0.25">
      <c r="E2371" t="s">
        <v>149</v>
      </c>
    </row>
    <row r="2372" spans="5:5" x14ac:dyDescent="0.25">
      <c r="E2372" t="s">
        <v>149</v>
      </c>
    </row>
    <row r="2373" spans="5:5" x14ac:dyDescent="0.25">
      <c r="E2373" t="s">
        <v>149</v>
      </c>
    </row>
    <row r="2374" spans="5:5" x14ac:dyDescent="0.25">
      <c r="E2374" t="s">
        <v>149</v>
      </c>
    </row>
    <row r="2375" spans="5:5" x14ac:dyDescent="0.25">
      <c r="E2375" t="s">
        <v>149</v>
      </c>
    </row>
    <row r="2376" spans="5:5" x14ac:dyDescent="0.25">
      <c r="E2376" t="s">
        <v>149</v>
      </c>
    </row>
    <row r="2377" spans="5:5" x14ac:dyDescent="0.25">
      <c r="E2377" t="s">
        <v>149</v>
      </c>
    </row>
    <row r="2378" spans="5:5" x14ac:dyDescent="0.25">
      <c r="E2378" t="s">
        <v>149</v>
      </c>
    </row>
    <row r="2379" spans="5:5" x14ac:dyDescent="0.25">
      <c r="E2379" t="s">
        <v>149</v>
      </c>
    </row>
    <row r="2380" spans="5:5" x14ac:dyDescent="0.25">
      <c r="E2380" t="s">
        <v>149</v>
      </c>
    </row>
    <row r="2381" spans="5:5" x14ac:dyDescent="0.25">
      <c r="E2381" t="s">
        <v>149</v>
      </c>
    </row>
    <row r="2382" spans="5:5" x14ac:dyDescent="0.25">
      <c r="E2382" t="s">
        <v>149</v>
      </c>
    </row>
    <row r="2383" spans="5:5" x14ac:dyDescent="0.25">
      <c r="E2383" t="s">
        <v>149</v>
      </c>
    </row>
    <row r="2384" spans="5:5" x14ac:dyDescent="0.25">
      <c r="E2384" t="s">
        <v>149</v>
      </c>
    </row>
    <row r="2385" spans="5:5" x14ac:dyDescent="0.25">
      <c r="E2385" t="s">
        <v>149</v>
      </c>
    </row>
    <row r="2386" spans="5:5" x14ac:dyDescent="0.25">
      <c r="E2386" t="s">
        <v>149</v>
      </c>
    </row>
    <row r="2387" spans="5:5" x14ac:dyDescent="0.25">
      <c r="E2387" t="s">
        <v>149</v>
      </c>
    </row>
    <row r="2388" spans="5:5" x14ac:dyDescent="0.25">
      <c r="E2388" t="s">
        <v>149</v>
      </c>
    </row>
    <row r="2389" spans="5:5" x14ac:dyDescent="0.25">
      <c r="E2389" t="s">
        <v>149</v>
      </c>
    </row>
    <row r="2390" spans="5:5" x14ac:dyDescent="0.25">
      <c r="E2390" t="s">
        <v>149</v>
      </c>
    </row>
    <row r="2391" spans="5:5" x14ac:dyDescent="0.25">
      <c r="E2391" t="s">
        <v>149</v>
      </c>
    </row>
    <row r="2392" spans="5:5" x14ac:dyDescent="0.25">
      <c r="E2392" t="s">
        <v>149</v>
      </c>
    </row>
    <row r="2393" spans="5:5" x14ac:dyDescent="0.25">
      <c r="E2393" t="s">
        <v>149</v>
      </c>
    </row>
    <row r="2394" spans="5:5" x14ac:dyDescent="0.25">
      <c r="E2394" t="s">
        <v>149</v>
      </c>
    </row>
    <row r="2395" spans="5:5" x14ac:dyDescent="0.25">
      <c r="E2395" t="s">
        <v>149</v>
      </c>
    </row>
    <row r="2396" spans="5:5" x14ac:dyDescent="0.25">
      <c r="E2396" t="s">
        <v>149</v>
      </c>
    </row>
    <row r="2397" spans="5:5" x14ac:dyDescent="0.25">
      <c r="E2397" t="s">
        <v>149</v>
      </c>
    </row>
    <row r="2398" spans="5:5" x14ac:dyDescent="0.25">
      <c r="E2398" t="s">
        <v>149</v>
      </c>
    </row>
    <row r="2399" spans="5:5" x14ac:dyDescent="0.25">
      <c r="E2399" t="s">
        <v>149</v>
      </c>
    </row>
    <row r="2400" spans="5:5" x14ac:dyDescent="0.25">
      <c r="E2400" t="s">
        <v>149</v>
      </c>
    </row>
    <row r="2401" spans="5:5" x14ac:dyDescent="0.25">
      <c r="E2401" t="s">
        <v>149</v>
      </c>
    </row>
    <row r="2402" spans="5:5" x14ac:dyDescent="0.25">
      <c r="E2402" t="s">
        <v>149</v>
      </c>
    </row>
    <row r="2403" spans="5:5" x14ac:dyDescent="0.25">
      <c r="E2403" t="s">
        <v>149</v>
      </c>
    </row>
    <row r="2404" spans="5:5" x14ac:dyDescent="0.25">
      <c r="E2404" t="s">
        <v>149</v>
      </c>
    </row>
    <row r="2405" spans="5:5" x14ac:dyDescent="0.25">
      <c r="E2405" t="s">
        <v>149</v>
      </c>
    </row>
    <row r="2406" spans="5:5" x14ac:dyDescent="0.25">
      <c r="E2406" t="s">
        <v>149</v>
      </c>
    </row>
    <row r="2407" spans="5:5" x14ac:dyDescent="0.25">
      <c r="E2407" t="s">
        <v>149</v>
      </c>
    </row>
    <row r="2408" spans="5:5" x14ac:dyDescent="0.25">
      <c r="E2408" t="s">
        <v>149</v>
      </c>
    </row>
    <row r="2409" spans="5:5" x14ac:dyDescent="0.25">
      <c r="E2409" t="s">
        <v>149</v>
      </c>
    </row>
    <row r="2410" spans="5:5" x14ac:dyDescent="0.25">
      <c r="E2410" t="s">
        <v>149</v>
      </c>
    </row>
    <row r="2411" spans="5:5" x14ac:dyDescent="0.25">
      <c r="E2411" t="s">
        <v>149</v>
      </c>
    </row>
    <row r="2412" spans="5:5" x14ac:dyDescent="0.25">
      <c r="E2412" t="s">
        <v>149</v>
      </c>
    </row>
    <row r="2413" spans="5:5" x14ac:dyDescent="0.25">
      <c r="E2413" t="s">
        <v>149</v>
      </c>
    </row>
    <row r="2414" spans="5:5" x14ac:dyDescent="0.25">
      <c r="E2414" t="s">
        <v>149</v>
      </c>
    </row>
    <row r="2415" spans="5:5" x14ac:dyDescent="0.25">
      <c r="E2415" t="s">
        <v>149</v>
      </c>
    </row>
    <row r="2416" spans="5:5" x14ac:dyDescent="0.25">
      <c r="E2416" t="s">
        <v>149</v>
      </c>
    </row>
    <row r="2417" spans="5:5" x14ac:dyDescent="0.25">
      <c r="E2417" t="s">
        <v>149</v>
      </c>
    </row>
    <row r="2418" spans="5:5" x14ac:dyDescent="0.25">
      <c r="E2418" t="s">
        <v>149</v>
      </c>
    </row>
    <row r="2419" spans="5:5" x14ac:dyDescent="0.25">
      <c r="E2419" t="s">
        <v>149</v>
      </c>
    </row>
    <row r="2420" spans="5:5" x14ac:dyDescent="0.25">
      <c r="E2420" t="s">
        <v>149</v>
      </c>
    </row>
    <row r="2421" spans="5:5" x14ac:dyDescent="0.25">
      <c r="E2421" t="s">
        <v>149</v>
      </c>
    </row>
    <row r="2422" spans="5:5" x14ac:dyDescent="0.25">
      <c r="E2422" t="s">
        <v>149</v>
      </c>
    </row>
    <row r="2423" spans="5:5" x14ac:dyDescent="0.25">
      <c r="E2423" t="s">
        <v>149</v>
      </c>
    </row>
    <row r="2424" spans="5:5" x14ac:dyDescent="0.25">
      <c r="E2424" t="s">
        <v>149</v>
      </c>
    </row>
    <row r="2425" spans="5:5" x14ac:dyDescent="0.25">
      <c r="E2425" t="s">
        <v>149</v>
      </c>
    </row>
    <row r="2426" spans="5:5" x14ac:dyDescent="0.25">
      <c r="E2426" t="s">
        <v>149</v>
      </c>
    </row>
    <row r="2427" spans="5:5" x14ac:dyDescent="0.25">
      <c r="E2427" t="s">
        <v>149</v>
      </c>
    </row>
    <row r="2428" spans="5:5" x14ac:dyDescent="0.25">
      <c r="E2428" t="s">
        <v>149</v>
      </c>
    </row>
    <row r="2429" spans="5:5" x14ac:dyDescent="0.25">
      <c r="E2429" t="s">
        <v>149</v>
      </c>
    </row>
    <row r="2430" spans="5:5" x14ac:dyDescent="0.25">
      <c r="E2430" t="s">
        <v>149</v>
      </c>
    </row>
    <row r="2431" spans="5:5" x14ac:dyDescent="0.25">
      <c r="E2431" t="s">
        <v>149</v>
      </c>
    </row>
    <row r="2432" spans="5:5" x14ac:dyDescent="0.25">
      <c r="E2432" t="s">
        <v>149</v>
      </c>
    </row>
    <row r="2433" spans="5:5" x14ac:dyDescent="0.25">
      <c r="E2433" t="s">
        <v>149</v>
      </c>
    </row>
    <row r="2434" spans="5:5" x14ac:dyDescent="0.25">
      <c r="E2434" t="s">
        <v>149</v>
      </c>
    </row>
    <row r="2435" spans="5:5" x14ac:dyDescent="0.25">
      <c r="E2435" t="s">
        <v>149</v>
      </c>
    </row>
    <row r="2436" spans="5:5" x14ac:dyDescent="0.25">
      <c r="E2436" t="s">
        <v>149</v>
      </c>
    </row>
    <row r="2437" spans="5:5" x14ac:dyDescent="0.25">
      <c r="E2437" t="s">
        <v>149</v>
      </c>
    </row>
    <row r="2438" spans="5:5" x14ac:dyDescent="0.25">
      <c r="E2438" t="s">
        <v>149</v>
      </c>
    </row>
    <row r="2439" spans="5:5" x14ac:dyDescent="0.25">
      <c r="E2439" t="s">
        <v>149</v>
      </c>
    </row>
    <row r="2440" spans="5:5" x14ac:dyDescent="0.25">
      <c r="E2440" t="s">
        <v>149</v>
      </c>
    </row>
    <row r="2441" spans="5:5" x14ac:dyDescent="0.25">
      <c r="E2441" t="s">
        <v>149</v>
      </c>
    </row>
    <row r="2442" spans="5:5" x14ac:dyDescent="0.25">
      <c r="E2442" t="s">
        <v>149</v>
      </c>
    </row>
    <row r="2443" spans="5:5" x14ac:dyDescent="0.25">
      <c r="E2443" t="s">
        <v>149</v>
      </c>
    </row>
    <row r="2444" spans="5:5" x14ac:dyDescent="0.25">
      <c r="E2444" t="s">
        <v>149</v>
      </c>
    </row>
    <row r="2445" spans="5:5" x14ac:dyDescent="0.25">
      <c r="E2445" t="s">
        <v>149</v>
      </c>
    </row>
    <row r="2446" spans="5:5" x14ac:dyDescent="0.25">
      <c r="E2446" t="s">
        <v>149</v>
      </c>
    </row>
    <row r="2447" spans="5:5" x14ac:dyDescent="0.25">
      <c r="E2447" t="s">
        <v>149</v>
      </c>
    </row>
    <row r="2448" spans="5:5" x14ac:dyDescent="0.25">
      <c r="E2448" t="s">
        <v>149</v>
      </c>
    </row>
    <row r="2449" spans="5:5" x14ac:dyDescent="0.25">
      <c r="E2449" t="s">
        <v>149</v>
      </c>
    </row>
    <row r="2450" spans="5:5" x14ac:dyDescent="0.25">
      <c r="E2450" t="s">
        <v>149</v>
      </c>
    </row>
    <row r="2451" spans="5:5" x14ac:dyDescent="0.25">
      <c r="E2451" t="s">
        <v>149</v>
      </c>
    </row>
    <row r="2452" spans="5:5" x14ac:dyDescent="0.25">
      <c r="E2452" t="s">
        <v>149</v>
      </c>
    </row>
    <row r="2453" spans="5:5" x14ac:dyDescent="0.25">
      <c r="E2453" t="s">
        <v>149</v>
      </c>
    </row>
    <row r="2454" spans="5:5" x14ac:dyDescent="0.25">
      <c r="E2454" t="s">
        <v>149</v>
      </c>
    </row>
    <row r="2455" spans="5:5" x14ac:dyDescent="0.25">
      <c r="E2455" t="s">
        <v>149</v>
      </c>
    </row>
    <row r="2456" spans="5:5" x14ac:dyDescent="0.25">
      <c r="E2456" t="s">
        <v>149</v>
      </c>
    </row>
    <row r="2457" spans="5:5" x14ac:dyDescent="0.25">
      <c r="E2457" t="s">
        <v>149</v>
      </c>
    </row>
    <row r="2458" spans="5:5" x14ac:dyDescent="0.25">
      <c r="E2458" t="s">
        <v>149</v>
      </c>
    </row>
    <row r="2459" spans="5:5" x14ac:dyDescent="0.25">
      <c r="E2459" t="s">
        <v>149</v>
      </c>
    </row>
    <row r="2460" spans="5:5" x14ac:dyDescent="0.25">
      <c r="E2460" t="s">
        <v>149</v>
      </c>
    </row>
    <row r="2461" spans="5:5" x14ac:dyDescent="0.25">
      <c r="E2461" t="s">
        <v>149</v>
      </c>
    </row>
    <row r="2462" spans="5:5" x14ac:dyDescent="0.25">
      <c r="E2462" t="s">
        <v>149</v>
      </c>
    </row>
    <row r="2463" spans="5:5" x14ac:dyDescent="0.25">
      <c r="E2463" t="s">
        <v>149</v>
      </c>
    </row>
    <row r="2464" spans="5:5" x14ac:dyDescent="0.25">
      <c r="E2464" t="s">
        <v>149</v>
      </c>
    </row>
    <row r="2465" spans="5:5" x14ac:dyDescent="0.25">
      <c r="E2465" t="s">
        <v>149</v>
      </c>
    </row>
    <row r="2466" spans="5:5" x14ac:dyDescent="0.25">
      <c r="E2466" t="s">
        <v>149</v>
      </c>
    </row>
    <row r="2467" spans="5:5" x14ac:dyDescent="0.25">
      <c r="E2467" t="s">
        <v>149</v>
      </c>
    </row>
    <row r="2468" spans="5:5" x14ac:dyDescent="0.25">
      <c r="E2468" t="s">
        <v>149</v>
      </c>
    </row>
    <row r="2469" spans="5:5" x14ac:dyDescent="0.25">
      <c r="E2469" t="s">
        <v>149</v>
      </c>
    </row>
    <row r="2470" spans="5:5" x14ac:dyDescent="0.25">
      <c r="E2470" t="s">
        <v>149</v>
      </c>
    </row>
    <row r="2471" spans="5:5" x14ac:dyDescent="0.25">
      <c r="E2471" t="s">
        <v>149</v>
      </c>
    </row>
    <row r="2472" spans="5:5" x14ac:dyDescent="0.25">
      <c r="E2472" t="s">
        <v>149</v>
      </c>
    </row>
    <row r="2473" spans="5:5" x14ac:dyDescent="0.25">
      <c r="E2473" t="s">
        <v>149</v>
      </c>
    </row>
    <row r="2474" spans="5:5" x14ac:dyDescent="0.25">
      <c r="E2474" t="s">
        <v>149</v>
      </c>
    </row>
    <row r="2475" spans="5:5" x14ac:dyDescent="0.25">
      <c r="E2475" t="s">
        <v>149</v>
      </c>
    </row>
    <row r="2476" spans="5:5" x14ac:dyDescent="0.25">
      <c r="E2476" t="s">
        <v>149</v>
      </c>
    </row>
    <row r="2477" spans="5:5" x14ac:dyDescent="0.25">
      <c r="E2477" t="s">
        <v>149</v>
      </c>
    </row>
    <row r="2478" spans="5:5" x14ac:dyDescent="0.25">
      <c r="E2478" t="s">
        <v>149</v>
      </c>
    </row>
    <row r="2479" spans="5:5" x14ac:dyDescent="0.25">
      <c r="E2479" t="s">
        <v>149</v>
      </c>
    </row>
    <row r="2480" spans="5:5" x14ac:dyDescent="0.25">
      <c r="E2480" t="s">
        <v>149</v>
      </c>
    </row>
    <row r="2481" spans="5:5" x14ac:dyDescent="0.25">
      <c r="E2481" t="s">
        <v>149</v>
      </c>
    </row>
    <row r="2482" spans="5:5" x14ac:dyDescent="0.25">
      <c r="E2482" t="s">
        <v>149</v>
      </c>
    </row>
    <row r="2483" spans="5:5" x14ac:dyDescent="0.25">
      <c r="E2483" t="s">
        <v>149</v>
      </c>
    </row>
    <row r="2484" spans="5:5" x14ac:dyDescent="0.25">
      <c r="E2484" t="s">
        <v>149</v>
      </c>
    </row>
    <row r="2485" spans="5:5" x14ac:dyDescent="0.25">
      <c r="E2485" t="s">
        <v>149</v>
      </c>
    </row>
    <row r="2486" spans="5:5" x14ac:dyDescent="0.25">
      <c r="E2486" t="s">
        <v>149</v>
      </c>
    </row>
    <row r="2487" spans="5:5" x14ac:dyDescent="0.25">
      <c r="E2487" t="s">
        <v>149</v>
      </c>
    </row>
    <row r="2488" spans="5:5" x14ac:dyDescent="0.25">
      <c r="E2488" t="s">
        <v>149</v>
      </c>
    </row>
    <row r="2489" spans="5:5" x14ac:dyDescent="0.25">
      <c r="E2489" t="s">
        <v>149</v>
      </c>
    </row>
    <row r="2490" spans="5:5" x14ac:dyDescent="0.25">
      <c r="E2490" t="s">
        <v>149</v>
      </c>
    </row>
    <row r="2491" spans="5:5" x14ac:dyDescent="0.25">
      <c r="E2491" t="s">
        <v>149</v>
      </c>
    </row>
    <row r="2492" spans="5:5" x14ac:dyDescent="0.25">
      <c r="E2492" t="s">
        <v>149</v>
      </c>
    </row>
    <row r="2493" spans="5:5" x14ac:dyDescent="0.25">
      <c r="E2493" t="s">
        <v>149</v>
      </c>
    </row>
    <row r="2494" spans="5:5" x14ac:dyDescent="0.25">
      <c r="E2494" t="s">
        <v>149</v>
      </c>
    </row>
    <row r="2495" spans="5:5" x14ac:dyDescent="0.25">
      <c r="E2495" t="s">
        <v>149</v>
      </c>
    </row>
    <row r="2496" spans="5:5" x14ac:dyDescent="0.25">
      <c r="E2496" t="s">
        <v>149</v>
      </c>
    </row>
    <row r="2497" spans="5:5" x14ac:dyDescent="0.25">
      <c r="E2497" t="s">
        <v>149</v>
      </c>
    </row>
    <row r="2498" spans="5:5" x14ac:dyDescent="0.25">
      <c r="E2498" t="s">
        <v>149</v>
      </c>
    </row>
    <row r="2499" spans="5:5" x14ac:dyDescent="0.25">
      <c r="E2499" t="s">
        <v>149</v>
      </c>
    </row>
    <row r="2500" spans="5:5" x14ac:dyDescent="0.25">
      <c r="E2500" t="s">
        <v>149</v>
      </c>
    </row>
    <row r="2501" spans="5:5" x14ac:dyDescent="0.25">
      <c r="E2501" t="s">
        <v>149</v>
      </c>
    </row>
    <row r="2502" spans="5:5" x14ac:dyDescent="0.25">
      <c r="E2502" t="s">
        <v>149</v>
      </c>
    </row>
    <row r="2503" spans="5:5" x14ac:dyDescent="0.25">
      <c r="E2503" t="s">
        <v>149</v>
      </c>
    </row>
    <row r="2504" spans="5:5" x14ac:dyDescent="0.25">
      <c r="E2504" t="s">
        <v>149</v>
      </c>
    </row>
    <row r="2505" spans="5:5" x14ac:dyDescent="0.25">
      <c r="E2505" t="s">
        <v>149</v>
      </c>
    </row>
    <row r="2506" spans="5:5" x14ac:dyDescent="0.25">
      <c r="E2506" t="s">
        <v>149</v>
      </c>
    </row>
    <row r="2507" spans="5:5" x14ac:dyDescent="0.25">
      <c r="E2507" t="s">
        <v>149</v>
      </c>
    </row>
    <row r="2508" spans="5:5" x14ac:dyDescent="0.25">
      <c r="E2508" t="s">
        <v>149</v>
      </c>
    </row>
    <row r="2509" spans="5:5" x14ac:dyDescent="0.25">
      <c r="E2509" t="s">
        <v>149</v>
      </c>
    </row>
    <row r="2510" spans="5:5" x14ac:dyDescent="0.25">
      <c r="E2510" t="s">
        <v>149</v>
      </c>
    </row>
    <row r="2511" spans="5:5" x14ac:dyDescent="0.25">
      <c r="E2511" t="s">
        <v>149</v>
      </c>
    </row>
    <row r="2512" spans="5:5" x14ac:dyDescent="0.25">
      <c r="E2512" t="s">
        <v>149</v>
      </c>
    </row>
    <row r="2513" spans="5:5" x14ac:dyDescent="0.25">
      <c r="E2513" t="s">
        <v>149</v>
      </c>
    </row>
    <row r="2514" spans="5:5" x14ac:dyDescent="0.25">
      <c r="E2514" t="s">
        <v>149</v>
      </c>
    </row>
    <row r="2515" spans="5:5" x14ac:dyDescent="0.25">
      <c r="E2515" t="s">
        <v>149</v>
      </c>
    </row>
    <row r="2516" spans="5:5" x14ac:dyDescent="0.25">
      <c r="E2516" t="s">
        <v>149</v>
      </c>
    </row>
    <row r="2517" spans="5:5" x14ac:dyDescent="0.25">
      <c r="E2517" t="s">
        <v>149</v>
      </c>
    </row>
    <row r="2518" spans="5:5" x14ac:dyDescent="0.25">
      <c r="E2518" t="s">
        <v>149</v>
      </c>
    </row>
    <row r="2519" spans="5:5" x14ac:dyDescent="0.25">
      <c r="E2519" t="s">
        <v>149</v>
      </c>
    </row>
    <row r="2520" spans="5:5" x14ac:dyDescent="0.25">
      <c r="E2520" t="s">
        <v>149</v>
      </c>
    </row>
    <row r="2521" spans="5:5" x14ac:dyDescent="0.25">
      <c r="E2521" t="s">
        <v>149</v>
      </c>
    </row>
    <row r="2522" spans="5:5" x14ac:dyDescent="0.25">
      <c r="E2522" t="s">
        <v>149</v>
      </c>
    </row>
    <row r="2523" spans="5:5" x14ac:dyDescent="0.25">
      <c r="E2523" t="s">
        <v>149</v>
      </c>
    </row>
    <row r="2524" spans="5:5" x14ac:dyDescent="0.25">
      <c r="E2524" t="s">
        <v>149</v>
      </c>
    </row>
    <row r="2525" spans="5:5" x14ac:dyDescent="0.25">
      <c r="E2525" t="s">
        <v>149</v>
      </c>
    </row>
    <row r="2526" spans="5:5" x14ac:dyDescent="0.25">
      <c r="E2526" t="s">
        <v>149</v>
      </c>
    </row>
    <row r="2527" spans="5:5" x14ac:dyDescent="0.25">
      <c r="E2527" t="s">
        <v>149</v>
      </c>
    </row>
    <row r="2528" spans="5:5" x14ac:dyDescent="0.25">
      <c r="E2528" t="s">
        <v>149</v>
      </c>
    </row>
    <row r="2529" spans="5:5" x14ac:dyDescent="0.25">
      <c r="E2529" t="s">
        <v>149</v>
      </c>
    </row>
    <row r="2530" spans="5:5" x14ac:dyDescent="0.25">
      <c r="E2530" t="s">
        <v>149</v>
      </c>
    </row>
    <row r="2531" spans="5:5" x14ac:dyDescent="0.25">
      <c r="E2531" t="s">
        <v>149</v>
      </c>
    </row>
    <row r="2532" spans="5:5" x14ac:dyDescent="0.25">
      <c r="E2532" t="s">
        <v>149</v>
      </c>
    </row>
    <row r="2533" spans="5:5" x14ac:dyDescent="0.25">
      <c r="E2533" t="s">
        <v>149</v>
      </c>
    </row>
    <row r="2534" spans="5:5" x14ac:dyDescent="0.25">
      <c r="E2534" t="s">
        <v>149</v>
      </c>
    </row>
    <row r="2535" spans="5:5" x14ac:dyDescent="0.25">
      <c r="E2535" t="s">
        <v>149</v>
      </c>
    </row>
    <row r="2536" spans="5:5" x14ac:dyDescent="0.25">
      <c r="E2536" t="s">
        <v>149</v>
      </c>
    </row>
    <row r="2537" spans="5:5" x14ac:dyDescent="0.25">
      <c r="E2537" t="s">
        <v>149</v>
      </c>
    </row>
    <row r="2538" spans="5:5" x14ac:dyDescent="0.25">
      <c r="E2538" t="s">
        <v>149</v>
      </c>
    </row>
    <row r="2539" spans="5:5" x14ac:dyDescent="0.25">
      <c r="E2539" t="s">
        <v>149</v>
      </c>
    </row>
    <row r="2540" spans="5:5" x14ac:dyDescent="0.25">
      <c r="E2540" t="s">
        <v>149</v>
      </c>
    </row>
    <row r="2541" spans="5:5" x14ac:dyDescent="0.25">
      <c r="E2541" t="s">
        <v>149</v>
      </c>
    </row>
    <row r="2542" spans="5:5" x14ac:dyDescent="0.25">
      <c r="E2542" t="s">
        <v>149</v>
      </c>
    </row>
    <row r="2543" spans="5:5" x14ac:dyDescent="0.25">
      <c r="E2543" t="s">
        <v>149</v>
      </c>
    </row>
    <row r="2544" spans="5:5" x14ac:dyDescent="0.25">
      <c r="E2544" t="s">
        <v>149</v>
      </c>
    </row>
    <row r="2545" spans="5:5" x14ac:dyDescent="0.25">
      <c r="E2545" t="s">
        <v>149</v>
      </c>
    </row>
    <row r="2546" spans="5:5" x14ac:dyDescent="0.25">
      <c r="E2546" t="s">
        <v>149</v>
      </c>
    </row>
    <row r="2547" spans="5:5" x14ac:dyDescent="0.25">
      <c r="E2547" t="s">
        <v>149</v>
      </c>
    </row>
    <row r="2548" spans="5:5" x14ac:dyDescent="0.25">
      <c r="E2548" t="s">
        <v>149</v>
      </c>
    </row>
    <row r="2549" spans="5:5" x14ac:dyDescent="0.25">
      <c r="E2549" t="s">
        <v>149</v>
      </c>
    </row>
    <row r="2550" spans="5:5" x14ac:dyDescent="0.25">
      <c r="E2550" t="s">
        <v>149</v>
      </c>
    </row>
    <row r="2551" spans="5:5" x14ac:dyDescent="0.25">
      <c r="E2551" t="s">
        <v>149</v>
      </c>
    </row>
    <row r="2552" spans="5:5" x14ac:dyDescent="0.25">
      <c r="E2552" t="s">
        <v>149</v>
      </c>
    </row>
    <row r="2553" spans="5:5" x14ac:dyDescent="0.25">
      <c r="E2553" t="s">
        <v>149</v>
      </c>
    </row>
    <row r="2554" spans="5:5" x14ac:dyDescent="0.25">
      <c r="E2554" t="s">
        <v>149</v>
      </c>
    </row>
    <row r="2555" spans="5:5" x14ac:dyDescent="0.25">
      <c r="E2555" t="s">
        <v>149</v>
      </c>
    </row>
    <row r="2556" spans="5:5" x14ac:dyDescent="0.25">
      <c r="E2556" t="s">
        <v>149</v>
      </c>
    </row>
    <row r="2557" spans="5:5" x14ac:dyDescent="0.25">
      <c r="E2557" t="s">
        <v>149</v>
      </c>
    </row>
    <row r="2558" spans="5:5" x14ac:dyDescent="0.25">
      <c r="E2558" t="s">
        <v>149</v>
      </c>
    </row>
    <row r="2559" spans="5:5" x14ac:dyDescent="0.25">
      <c r="E2559" t="s">
        <v>149</v>
      </c>
    </row>
    <row r="2560" spans="5:5" x14ac:dyDescent="0.25">
      <c r="E2560" t="s">
        <v>149</v>
      </c>
    </row>
    <row r="2561" spans="5:5" x14ac:dyDescent="0.25">
      <c r="E2561" t="s">
        <v>149</v>
      </c>
    </row>
    <row r="2562" spans="5:5" x14ac:dyDescent="0.25">
      <c r="E2562" t="s">
        <v>149</v>
      </c>
    </row>
    <row r="2563" spans="5:5" x14ac:dyDescent="0.25">
      <c r="E2563" t="s">
        <v>149</v>
      </c>
    </row>
    <row r="2564" spans="5:5" x14ac:dyDescent="0.25">
      <c r="E2564" t="s">
        <v>149</v>
      </c>
    </row>
    <row r="2565" spans="5:5" x14ac:dyDescent="0.25">
      <c r="E2565" t="s">
        <v>149</v>
      </c>
    </row>
    <row r="2566" spans="5:5" x14ac:dyDescent="0.25">
      <c r="E2566" t="s">
        <v>149</v>
      </c>
    </row>
    <row r="2567" spans="5:5" x14ac:dyDescent="0.25">
      <c r="E2567" t="s">
        <v>149</v>
      </c>
    </row>
    <row r="2568" spans="5:5" x14ac:dyDescent="0.25">
      <c r="E2568" t="s">
        <v>149</v>
      </c>
    </row>
    <row r="2569" spans="5:5" x14ac:dyDescent="0.25">
      <c r="E2569" t="s">
        <v>149</v>
      </c>
    </row>
    <row r="2570" spans="5:5" x14ac:dyDescent="0.25">
      <c r="E2570" t="s">
        <v>149</v>
      </c>
    </row>
    <row r="2571" spans="5:5" x14ac:dyDescent="0.25">
      <c r="E2571" t="s">
        <v>149</v>
      </c>
    </row>
    <row r="2572" spans="5:5" x14ac:dyDescent="0.25">
      <c r="E2572" t="s">
        <v>149</v>
      </c>
    </row>
    <row r="2573" spans="5:5" x14ac:dyDescent="0.25">
      <c r="E2573" t="s">
        <v>149</v>
      </c>
    </row>
    <row r="2574" spans="5:5" x14ac:dyDescent="0.25">
      <c r="E2574" t="s">
        <v>149</v>
      </c>
    </row>
    <row r="2575" spans="5:5" x14ac:dyDescent="0.25">
      <c r="E2575" t="s">
        <v>149</v>
      </c>
    </row>
    <row r="2576" spans="5:5" x14ac:dyDescent="0.25">
      <c r="E2576" t="s">
        <v>149</v>
      </c>
    </row>
    <row r="2577" spans="5:5" x14ac:dyDescent="0.25">
      <c r="E2577" t="s">
        <v>149</v>
      </c>
    </row>
    <row r="2578" spans="5:5" x14ac:dyDescent="0.25">
      <c r="E2578" t="s">
        <v>149</v>
      </c>
    </row>
    <row r="2579" spans="5:5" x14ac:dyDescent="0.25">
      <c r="E2579" t="s">
        <v>149</v>
      </c>
    </row>
    <row r="2580" spans="5:5" x14ac:dyDescent="0.25">
      <c r="E2580" t="s">
        <v>149</v>
      </c>
    </row>
    <row r="2581" spans="5:5" x14ac:dyDescent="0.25">
      <c r="E2581" t="s">
        <v>149</v>
      </c>
    </row>
    <row r="2582" spans="5:5" x14ac:dyDescent="0.25">
      <c r="E2582" t="s">
        <v>149</v>
      </c>
    </row>
    <row r="2583" spans="5:5" x14ac:dyDescent="0.25">
      <c r="E2583" t="s">
        <v>149</v>
      </c>
    </row>
    <row r="2584" spans="5:5" x14ac:dyDescent="0.25">
      <c r="E2584" t="s">
        <v>149</v>
      </c>
    </row>
    <row r="2585" spans="5:5" x14ac:dyDescent="0.25">
      <c r="E2585" t="s">
        <v>149</v>
      </c>
    </row>
    <row r="2586" spans="5:5" x14ac:dyDescent="0.25">
      <c r="E2586" t="s">
        <v>149</v>
      </c>
    </row>
    <row r="2587" spans="5:5" x14ac:dyDescent="0.25">
      <c r="E2587" t="s">
        <v>149</v>
      </c>
    </row>
    <row r="2588" spans="5:5" x14ac:dyDescent="0.25">
      <c r="E2588" t="s">
        <v>149</v>
      </c>
    </row>
    <row r="2589" spans="5:5" x14ac:dyDescent="0.25">
      <c r="E2589" t="s">
        <v>149</v>
      </c>
    </row>
    <row r="2590" spans="5:5" x14ac:dyDescent="0.25">
      <c r="E2590" t="s">
        <v>149</v>
      </c>
    </row>
    <row r="2591" spans="5:5" x14ac:dyDescent="0.25">
      <c r="E2591" t="s">
        <v>149</v>
      </c>
    </row>
    <row r="2592" spans="5:5" x14ac:dyDescent="0.25">
      <c r="E2592" t="s">
        <v>149</v>
      </c>
    </row>
    <row r="2593" spans="5:5" x14ac:dyDescent="0.25">
      <c r="E2593" t="s">
        <v>149</v>
      </c>
    </row>
    <row r="2594" spans="5:5" x14ac:dyDescent="0.25">
      <c r="E2594" t="s">
        <v>149</v>
      </c>
    </row>
    <row r="2595" spans="5:5" x14ac:dyDescent="0.25">
      <c r="E2595" t="s">
        <v>149</v>
      </c>
    </row>
    <row r="2596" spans="5:5" x14ac:dyDescent="0.25">
      <c r="E2596" t="s">
        <v>149</v>
      </c>
    </row>
    <row r="2597" spans="5:5" x14ac:dyDescent="0.25">
      <c r="E2597" t="s">
        <v>149</v>
      </c>
    </row>
    <row r="2598" spans="5:5" x14ac:dyDescent="0.25">
      <c r="E2598" t="s">
        <v>149</v>
      </c>
    </row>
    <row r="2599" spans="5:5" x14ac:dyDescent="0.25">
      <c r="E2599" t="s">
        <v>149</v>
      </c>
    </row>
    <row r="2600" spans="5:5" x14ac:dyDescent="0.25">
      <c r="E2600" t="s">
        <v>149</v>
      </c>
    </row>
    <row r="2601" spans="5:5" x14ac:dyDescent="0.25">
      <c r="E2601" t="s">
        <v>149</v>
      </c>
    </row>
    <row r="2602" spans="5:5" x14ac:dyDescent="0.25">
      <c r="E2602" t="s">
        <v>149</v>
      </c>
    </row>
    <row r="2603" spans="5:5" x14ac:dyDescent="0.25">
      <c r="E2603" t="s">
        <v>149</v>
      </c>
    </row>
    <row r="2604" spans="5:5" x14ac:dyDescent="0.25">
      <c r="E2604" t="s">
        <v>149</v>
      </c>
    </row>
    <row r="2605" spans="5:5" x14ac:dyDescent="0.25">
      <c r="E2605" t="s">
        <v>149</v>
      </c>
    </row>
    <row r="2606" spans="5:5" x14ac:dyDescent="0.25">
      <c r="E2606" t="s">
        <v>149</v>
      </c>
    </row>
    <row r="2607" spans="5:5" x14ac:dyDescent="0.25">
      <c r="E2607" t="s">
        <v>149</v>
      </c>
    </row>
    <row r="2608" spans="5:5" x14ac:dyDescent="0.25">
      <c r="E2608" t="s">
        <v>149</v>
      </c>
    </row>
    <row r="2609" spans="5:5" x14ac:dyDescent="0.25">
      <c r="E2609" t="s">
        <v>149</v>
      </c>
    </row>
    <row r="2610" spans="5:5" x14ac:dyDescent="0.25">
      <c r="E2610" t="s">
        <v>149</v>
      </c>
    </row>
    <row r="2611" spans="5:5" x14ac:dyDescent="0.25">
      <c r="E2611" t="s">
        <v>149</v>
      </c>
    </row>
    <row r="2612" spans="5:5" x14ac:dyDescent="0.25">
      <c r="E2612" t="s">
        <v>149</v>
      </c>
    </row>
    <row r="2613" spans="5:5" x14ac:dyDescent="0.25">
      <c r="E2613" t="s">
        <v>149</v>
      </c>
    </row>
    <row r="2614" spans="5:5" x14ac:dyDescent="0.25">
      <c r="E2614" t="s">
        <v>149</v>
      </c>
    </row>
    <row r="2615" spans="5:5" x14ac:dyDescent="0.25">
      <c r="E2615" t="s">
        <v>149</v>
      </c>
    </row>
    <row r="2616" spans="5:5" x14ac:dyDescent="0.25">
      <c r="E2616" t="s">
        <v>149</v>
      </c>
    </row>
    <row r="2617" spans="5:5" x14ac:dyDescent="0.25">
      <c r="E2617" t="s">
        <v>149</v>
      </c>
    </row>
    <row r="2618" spans="5:5" x14ac:dyDescent="0.25">
      <c r="E2618" t="s">
        <v>149</v>
      </c>
    </row>
    <row r="2619" spans="5:5" x14ac:dyDescent="0.25">
      <c r="E2619" t="s">
        <v>149</v>
      </c>
    </row>
    <row r="2620" spans="5:5" x14ac:dyDescent="0.25">
      <c r="E2620" t="s">
        <v>149</v>
      </c>
    </row>
    <row r="2621" spans="5:5" x14ac:dyDescent="0.25">
      <c r="E2621" t="s">
        <v>149</v>
      </c>
    </row>
    <row r="2622" spans="5:5" x14ac:dyDescent="0.25">
      <c r="E2622" t="s">
        <v>149</v>
      </c>
    </row>
    <row r="2623" spans="5:5" x14ac:dyDescent="0.25">
      <c r="E2623" t="s">
        <v>149</v>
      </c>
    </row>
    <row r="2624" spans="5:5" x14ac:dyDescent="0.25">
      <c r="E2624" t="s">
        <v>149</v>
      </c>
    </row>
    <row r="2625" spans="5:5" x14ac:dyDescent="0.25">
      <c r="E2625" t="s">
        <v>149</v>
      </c>
    </row>
    <row r="2626" spans="5:5" x14ac:dyDescent="0.25">
      <c r="E2626" t="s">
        <v>149</v>
      </c>
    </row>
    <row r="2627" spans="5:5" x14ac:dyDescent="0.25">
      <c r="E2627" t="s">
        <v>149</v>
      </c>
    </row>
    <row r="2628" spans="5:5" x14ac:dyDescent="0.25">
      <c r="E2628" t="s">
        <v>149</v>
      </c>
    </row>
    <row r="2629" spans="5:5" x14ac:dyDescent="0.25">
      <c r="E2629" t="s">
        <v>149</v>
      </c>
    </row>
    <row r="2630" spans="5:5" x14ac:dyDescent="0.25">
      <c r="E2630" t="s">
        <v>149</v>
      </c>
    </row>
    <row r="2631" spans="5:5" x14ac:dyDescent="0.25">
      <c r="E2631" t="s">
        <v>149</v>
      </c>
    </row>
    <row r="2632" spans="5:5" x14ac:dyDescent="0.25">
      <c r="E2632" t="s">
        <v>149</v>
      </c>
    </row>
    <row r="2633" spans="5:5" x14ac:dyDescent="0.25">
      <c r="E2633" t="s">
        <v>149</v>
      </c>
    </row>
    <row r="2634" spans="5:5" x14ac:dyDescent="0.25">
      <c r="E2634" t="s">
        <v>149</v>
      </c>
    </row>
    <row r="2635" spans="5:5" x14ac:dyDescent="0.25">
      <c r="E2635" t="s">
        <v>149</v>
      </c>
    </row>
    <row r="2636" spans="5:5" x14ac:dyDescent="0.25">
      <c r="E2636" t="s">
        <v>149</v>
      </c>
    </row>
    <row r="2637" spans="5:5" x14ac:dyDescent="0.25">
      <c r="E2637" t="s">
        <v>149</v>
      </c>
    </row>
    <row r="2638" spans="5:5" x14ac:dyDescent="0.25">
      <c r="E2638" t="s">
        <v>149</v>
      </c>
    </row>
    <row r="2639" spans="5:5" x14ac:dyDescent="0.25">
      <c r="E2639" t="s">
        <v>149</v>
      </c>
    </row>
    <row r="2640" spans="5:5" x14ac:dyDescent="0.25">
      <c r="E2640" t="s">
        <v>149</v>
      </c>
    </row>
    <row r="2641" spans="5:5" x14ac:dyDescent="0.25">
      <c r="E2641" t="s">
        <v>149</v>
      </c>
    </row>
    <row r="2642" spans="5:5" x14ac:dyDescent="0.25">
      <c r="E2642" t="s">
        <v>149</v>
      </c>
    </row>
    <row r="2643" spans="5:5" x14ac:dyDescent="0.25">
      <c r="E2643" t="s">
        <v>149</v>
      </c>
    </row>
    <row r="2644" spans="5:5" x14ac:dyDescent="0.25">
      <c r="E2644" t="s">
        <v>149</v>
      </c>
    </row>
    <row r="2645" spans="5:5" x14ac:dyDescent="0.25">
      <c r="E2645" t="s">
        <v>149</v>
      </c>
    </row>
    <row r="2646" spans="5:5" x14ac:dyDescent="0.25">
      <c r="E2646" t="s">
        <v>149</v>
      </c>
    </row>
    <row r="2647" spans="5:5" x14ac:dyDescent="0.25">
      <c r="E2647" t="s">
        <v>149</v>
      </c>
    </row>
    <row r="2648" spans="5:5" x14ac:dyDescent="0.25">
      <c r="E2648" t="s">
        <v>149</v>
      </c>
    </row>
    <row r="2649" spans="5:5" x14ac:dyDescent="0.25">
      <c r="E2649" t="s">
        <v>149</v>
      </c>
    </row>
    <row r="2650" spans="5:5" x14ac:dyDescent="0.25">
      <c r="E2650" t="s">
        <v>149</v>
      </c>
    </row>
    <row r="2651" spans="5:5" x14ac:dyDescent="0.25">
      <c r="E2651" t="s">
        <v>149</v>
      </c>
    </row>
    <row r="2652" spans="5:5" x14ac:dyDescent="0.25">
      <c r="E2652" t="s">
        <v>149</v>
      </c>
    </row>
    <row r="2653" spans="5:5" x14ac:dyDescent="0.25">
      <c r="E2653" t="s">
        <v>149</v>
      </c>
    </row>
    <row r="2654" spans="5:5" x14ac:dyDescent="0.25">
      <c r="E2654" t="s">
        <v>149</v>
      </c>
    </row>
    <row r="2655" spans="5:5" x14ac:dyDescent="0.25">
      <c r="E2655" t="s">
        <v>149</v>
      </c>
    </row>
    <row r="2656" spans="5:5" x14ac:dyDescent="0.25">
      <c r="E2656" t="s">
        <v>149</v>
      </c>
    </row>
    <row r="2657" spans="5:5" x14ac:dyDescent="0.25">
      <c r="E2657" t="s">
        <v>149</v>
      </c>
    </row>
    <row r="2658" spans="5:5" x14ac:dyDescent="0.25">
      <c r="E2658" t="s">
        <v>149</v>
      </c>
    </row>
    <row r="2659" spans="5:5" x14ac:dyDescent="0.25">
      <c r="E2659" t="s">
        <v>149</v>
      </c>
    </row>
    <row r="2660" spans="5:5" x14ac:dyDescent="0.25">
      <c r="E2660" t="s">
        <v>149</v>
      </c>
    </row>
    <row r="2661" spans="5:5" x14ac:dyDescent="0.25">
      <c r="E2661" t="s">
        <v>149</v>
      </c>
    </row>
    <row r="2662" spans="5:5" x14ac:dyDescent="0.25">
      <c r="E2662" t="s">
        <v>149</v>
      </c>
    </row>
    <row r="2663" spans="5:5" x14ac:dyDescent="0.25">
      <c r="E2663" t="s">
        <v>149</v>
      </c>
    </row>
    <row r="2664" spans="5:5" x14ac:dyDescent="0.25">
      <c r="E2664" t="s">
        <v>149</v>
      </c>
    </row>
    <row r="2665" spans="5:5" x14ac:dyDescent="0.25">
      <c r="E2665" t="s">
        <v>149</v>
      </c>
    </row>
    <row r="2666" spans="5:5" x14ac:dyDescent="0.25">
      <c r="E2666" t="s">
        <v>149</v>
      </c>
    </row>
    <row r="2667" spans="5:5" x14ac:dyDescent="0.25">
      <c r="E2667" t="s">
        <v>149</v>
      </c>
    </row>
    <row r="2668" spans="5:5" x14ac:dyDescent="0.25">
      <c r="E2668" t="s">
        <v>149</v>
      </c>
    </row>
    <row r="2669" spans="5:5" x14ac:dyDescent="0.25">
      <c r="E2669" t="s">
        <v>149</v>
      </c>
    </row>
    <row r="2670" spans="5:5" x14ac:dyDescent="0.25">
      <c r="E2670" t="s">
        <v>149</v>
      </c>
    </row>
    <row r="2671" spans="5:5" x14ac:dyDescent="0.25">
      <c r="E2671" t="s">
        <v>149</v>
      </c>
    </row>
    <row r="2672" spans="5:5" x14ac:dyDescent="0.25">
      <c r="E2672" t="s">
        <v>149</v>
      </c>
    </row>
    <row r="2673" spans="5:5" x14ac:dyDescent="0.25">
      <c r="E2673" t="s">
        <v>149</v>
      </c>
    </row>
    <row r="2674" spans="5:5" x14ac:dyDescent="0.25">
      <c r="E2674" t="s">
        <v>149</v>
      </c>
    </row>
    <row r="2675" spans="5:5" x14ac:dyDescent="0.25">
      <c r="E2675" t="s">
        <v>149</v>
      </c>
    </row>
    <row r="2676" spans="5:5" x14ac:dyDescent="0.25">
      <c r="E2676" t="s">
        <v>149</v>
      </c>
    </row>
    <row r="2677" spans="5:5" x14ac:dyDescent="0.25">
      <c r="E2677" t="s">
        <v>149</v>
      </c>
    </row>
    <row r="2678" spans="5:5" x14ac:dyDescent="0.25">
      <c r="E2678" t="s">
        <v>149</v>
      </c>
    </row>
    <row r="2679" spans="5:5" x14ac:dyDescent="0.25">
      <c r="E2679" t="s">
        <v>149</v>
      </c>
    </row>
    <row r="2680" spans="5:5" x14ac:dyDescent="0.25">
      <c r="E2680" t="s">
        <v>149</v>
      </c>
    </row>
    <row r="2681" spans="5:5" x14ac:dyDescent="0.25">
      <c r="E2681" t="s">
        <v>149</v>
      </c>
    </row>
    <row r="2682" spans="5:5" x14ac:dyDescent="0.25">
      <c r="E2682" t="s">
        <v>149</v>
      </c>
    </row>
    <row r="2683" spans="5:5" x14ac:dyDescent="0.25">
      <c r="E2683" t="s">
        <v>149</v>
      </c>
    </row>
    <row r="2684" spans="5:5" x14ac:dyDescent="0.25">
      <c r="E2684" t="s">
        <v>149</v>
      </c>
    </row>
    <row r="2685" spans="5:5" x14ac:dyDescent="0.25">
      <c r="E2685" t="s">
        <v>149</v>
      </c>
    </row>
    <row r="2686" spans="5:5" x14ac:dyDescent="0.25">
      <c r="E2686" t="s">
        <v>149</v>
      </c>
    </row>
    <row r="2687" spans="5:5" x14ac:dyDescent="0.25">
      <c r="E2687" t="s">
        <v>149</v>
      </c>
    </row>
    <row r="2688" spans="5:5" x14ac:dyDescent="0.25">
      <c r="E2688" t="s">
        <v>149</v>
      </c>
    </row>
    <row r="2689" spans="5:5" x14ac:dyDescent="0.25">
      <c r="E2689" t="s">
        <v>149</v>
      </c>
    </row>
    <row r="2690" spans="5:5" x14ac:dyDescent="0.25">
      <c r="E2690" t="s">
        <v>149</v>
      </c>
    </row>
    <row r="2691" spans="5:5" x14ac:dyDescent="0.25">
      <c r="E2691" t="s">
        <v>149</v>
      </c>
    </row>
    <row r="2692" spans="5:5" x14ac:dyDescent="0.25">
      <c r="E2692" t="s">
        <v>149</v>
      </c>
    </row>
    <row r="2693" spans="5:5" x14ac:dyDescent="0.25">
      <c r="E2693" t="s">
        <v>149</v>
      </c>
    </row>
    <row r="2694" spans="5:5" x14ac:dyDescent="0.25">
      <c r="E2694" t="s">
        <v>149</v>
      </c>
    </row>
    <row r="2695" spans="5:5" x14ac:dyDescent="0.25">
      <c r="E2695" t="s">
        <v>149</v>
      </c>
    </row>
    <row r="2696" spans="5:5" x14ac:dyDescent="0.25">
      <c r="E2696" t="s">
        <v>149</v>
      </c>
    </row>
    <row r="2697" spans="5:5" x14ac:dyDescent="0.25">
      <c r="E2697" t="s">
        <v>149</v>
      </c>
    </row>
    <row r="2698" spans="5:5" x14ac:dyDescent="0.25">
      <c r="E2698" t="s">
        <v>149</v>
      </c>
    </row>
    <row r="2699" spans="5:5" x14ac:dyDescent="0.25">
      <c r="E2699" t="s">
        <v>149</v>
      </c>
    </row>
    <row r="2700" spans="5:5" x14ac:dyDescent="0.25">
      <c r="E2700" t="s">
        <v>149</v>
      </c>
    </row>
    <row r="2701" spans="5:5" x14ac:dyDescent="0.25">
      <c r="E2701" t="s">
        <v>149</v>
      </c>
    </row>
    <row r="2702" spans="5:5" x14ac:dyDescent="0.25">
      <c r="E2702" t="s">
        <v>149</v>
      </c>
    </row>
    <row r="2703" spans="5:5" x14ac:dyDescent="0.25">
      <c r="E2703" t="s">
        <v>149</v>
      </c>
    </row>
    <row r="2704" spans="5:5" x14ac:dyDescent="0.25">
      <c r="E2704" t="s">
        <v>149</v>
      </c>
    </row>
    <row r="2705" spans="5:5" x14ac:dyDescent="0.25">
      <c r="E2705" t="s">
        <v>149</v>
      </c>
    </row>
    <row r="2706" spans="5:5" x14ac:dyDescent="0.25">
      <c r="E2706" t="s">
        <v>149</v>
      </c>
    </row>
    <row r="2707" spans="5:5" x14ac:dyDescent="0.25">
      <c r="E2707" t="s">
        <v>149</v>
      </c>
    </row>
    <row r="2708" spans="5:5" x14ac:dyDescent="0.25">
      <c r="E2708" t="s">
        <v>149</v>
      </c>
    </row>
    <row r="2709" spans="5:5" x14ac:dyDescent="0.25">
      <c r="E2709" t="s">
        <v>149</v>
      </c>
    </row>
    <row r="2710" spans="5:5" x14ac:dyDescent="0.25">
      <c r="E2710" t="s">
        <v>149</v>
      </c>
    </row>
    <row r="2711" spans="5:5" x14ac:dyDescent="0.25">
      <c r="E2711" t="s">
        <v>149</v>
      </c>
    </row>
    <row r="2712" spans="5:5" x14ac:dyDescent="0.25">
      <c r="E2712" t="s">
        <v>149</v>
      </c>
    </row>
    <row r="2713" spans="5:5" x14ac:dyDescent="0.25">
      <c r="E2713" t="s">
        <v>149</v>
      </c>
    </row>
    <row r="2714" spans="5:5" x14ac:dyDescent="0.25">
      <c r="E2714" t="s">
        <v>149</v>
      </c>
    </row>
    <row r="2715" spans="5:5" x14ac:dyDescent="0.25">
      <c r="E2715" t="s">
        <v>149</v>
      </c>
    </row>
    <row r="2716" spans="5:5" x14ac:dyDescent="0.25">
      <c r="E2716" t="s">
        <v>149</v>
      </c>
    </row>
    <row r="2717" spans="5:5" x14ac:dyDescent="0.25">
      <c r="E2717" t="s">
        <v>149</v>
      </c>
    </row>
    <row r="2718" spans="5:5" x14ac:dyDescent="0.25">
      <c r="E2718" t="s">
        <v>149</v>
      </c>
    </row>
    <row r="2719" spans="5:5" x14ac:dyDescent="0.25">
      <c r="E2719" t="s">
        <v>149</v>
      </c>
    </row>
    <row r="2720" spans="5:5" x14ac:dyDescent="0.25">
      <c r="E2720" t="s">
        <v>149</v>
      </c>
    </row>
    <row r="2721" spans="5:5" x14ac:dyDescent="0.25">
      <c r="E2721" t="s">
        <v>149</v>
      </c>
    </row>
    <row r="2722" spans="5:5" x14ac:dyDescent="0.25">
      <c r="E2722" t="s">
        <v>149</v>
      </c>
    </row>
    <row r="2723" spans="5:5" x14ac:dyDescent="0.25">
      <c r="E2723" t="s">
        <v>149</v>
      </c>
    </row>
    <row r="2724" spans="5:5" x14ac:dyDescent="0.25">
      <c r="E2724" t="s">
        <v>149</v>
      </c>
    </row>
    <row r="2725" spans="5:5" x14ac:dyDescent="0.25">
      <c r="E2725" t="s">
        <v>149</v>
      </c>
    </row>
    <row r="2726" spans="5:5" x14ac:dyDescent="0.25">
      <c r="E2726" t="s">
        <v>149</v>
      </c>
    </row>
    <row r="2727" spans="5:5" x14ac:dyDescent="0.25">
      <c r="E2727" t="s">
        <v>149</v>
      </c>
    </row>
    <row r="2728" spans="5:5" x14ac:dyDescent="0.25">
      <c r="E2728" t="s">
        <v>149</v>
      </c>
    </row>
    <row r="2729" spans="5:5" x14ac:dyDescent="0.25">
      <c r="E2729" t="s">
        <v>149</v>
      </c>
    </row>
    <row r="2730" spans="5:5" x14ac:dyDescent="0.25">
      <c r="E2730" t="s">
        <v>149</v>
      </c>
    </row>
    <row r="2731" spans="5:5" x14ac:dyDescent="0.25">
      <c r="E2731" t="s">
        <v>149</v>
      </c>
    </row>
    <row r="2732" spans="5:5" x14ac:dyDescent="0.25">
      <c r="E2732" t="s">
        <v>149</v>
      </c>
    </row>
    <row r="2733" spans="5:5" x14ac:dyDescent="0.25">
      <c r="E2733" t="s">
        <v>149</v>
      </c>
    </row>
    <row r="2734" spans="5:5" x14ac:dyDescent="0.25">
      <c r="E2734" t="s">
        <v>149</v>
      </c>
    </row>
    <row r="2735" spans="5:5" x14ac:dyDescent="0.25">
      <c r="E2735" t="s">
        <v>149</v>
      </c>
    </row>
    <row r="2736" spans="5:5" x14ac:dyDescent="0.25">
      <c r="E2736" t="s">
        <v>149</v>
      </c>
    </row>
    <row r="2737" spans="5:5" x14ac:dyDescent="0.25">
      <c r="E2737" t="s">
        <v>149</v>
      </c>
    </row>
    <row r="2738" spans="5:5" x14ac:dyDescent="0.25">
      <c r="E2738" t="s">
        <v>149</v>
      </c>
    </row>
    <row r="2739" spans="5:5" x14ac:dyDescent="0.25">
      <c r="E2739" t="s">
        <v>149</v>
      </c>
    </row>
    <row r="2740" spans="5:5" x14ac:dyDescent="0.25">
      <c r="E2740" t="s">
        <v>149</v>
      </c>
    </row>
    <row r="2741" spans="5:5" x14ac:dyDescent="0.25">
      <c r="E2741" t="s">
        <v>149</v>
      </c>
    </row>
    <row r="2742" spans="5:5" x14ac:dyDescent="0.25">
      <c r="E2742" t="s">
        <v>149</v>
      </c>
    </row>
    <row r="2743" spans="5:5" x14ac:dyDescent="0.25">
      <c r="E2743" t="s">
        <v>149</v>
      </c>
    </row>
    <row r="2744" spans="5:5" x14ac:dyDescent="0.25">
      <c r="E2744" t="s">
        <v>149</v>
      </c>
    </row>
    <row r="2745" spans="5:5" x14ac:dyDescent="0.25">
      <c r="E2745" t="s">
        <v>149</v>
      </c>
    </row>
    <row r="2746" spans="5:5" x14ac:dyDescent="0.25">
      <c r="E2746" t="s">
        <v>149</v>
      </c>
    </row>
    <row r="2747" spans="5:5" x14ac:dyDescent="0.25">
      <c r="E2747" t="s">
        <v>149</v>
      </c>
    </row>
    <row r="2748" spans="5:5" x14ac:dyDescent="0.25">
      <c r="E2748" t="s">
        <v>149</v>
      </c>
    </row>
    <row r="2749" spans="5:5" x14ac:dyDescent="0.25">
      <c r="E2749" t="s">
        <v>149</v>
      </c>
    </row>
    <row r="2750" spans="5:5" x14ac:dyDescent="0.25">
      <c r="E2750" t="s">
        <v>149</v>
      </c>
    </row>
    <row r="2751" spans="5:5" x14ac:dyDescent="0.25">
      <c r="E2751" t="s">
        <v>149</v>
      </c>
    </row>
    <row r="2752" spans="5:5" x14ac:dyDescent="0.25">
      <c r="E2752" t="s">
        <v>149</v>
      </c>
    </row>
    <row r="2753" spans="5:5" x14ac:dyDescent="0.25">
      <c r="E2753" t="s">
        <v>149</v>
      </c>
    </row>
    <row r="2754" spans="5:5" x14ac:dyDescent="0.25">
      <c r="E2754" t="s">
        <v>149</v>
      </c>
    </row>
    <row r="2755" spans="5:5" x14ac:dyDescent="0.25">
      <c r="E2755" t="s">
        <v>149</v>
      </c>
    </row>
    <row r="2756" spans="5:5" x14ac:dyDescent="0.25">
      <c r="E2756" t="s">
        <v>149</v>
      </c>
    </row>
    <row r="2757" spans="5:5" x14ac:dyDescent="0.25">
      <c r="E2757" t="s">
        <v>149</v>
      </c>
    </row>
    <row r="2758" spans="5:5" x14ac:dyDescent="0.25">
      <c r="E2758" t="s">
        <v>149</v>
      </c>
    </row>
    <row r="2759" spans="5:5" x14ac:dyDescent="0.25">
      <c r="E2759" t="s">
        <v>149</v>
      </c>
    </row>
    <row r="2760" spans="5:5" x14ac:dyDescent="0.25">
      <c r="E2760" t="s">
        <v>149</v>
      </c>
    </row>
    <row r="2761" spans="5:5" x14ac:dyDescent="0.25">
      <c r="E2761" t="s">
        <v>149</v>
      </c>
    </row>
    <row r="2762" spans="5:5" x14ac:dyDescent="0.25">
      <c r="E2762" t="s">
        <v>149</v>
      </c>
    </row>
    <row r="2763" spans="5:5" x14ac:dyDescent="0.25">
      <c r="E2763" t="s">
        <v>149</v>
      </c>
    </row>
    <row r="2764" spans="5:5" x14ac:dyDescent="0.25">
      <c r="E2764" t="s">
        <v>149</v>
      </c>
    </row>
    <row r="2765" spans="5:5" x14ac:dyDescent="0.25">
      <c r="E2765" t="s">
        <v>149</v>
      </c>
    </row>
    <row r="2766" spans="5:5" x14ac:dyDescent="0.25">
      <c r="E2766" t="s">
        <v>149</v>
      </c>
    </row>
    <row r="2767" spans="5:5" x14ac:dyDescent="0.25">
      <c r="E2767" t="s">
        <v>149</v>
      </c>
    </row>
    <row r="2768" spans="5:5" x14ac:dyDescent="0.25">
      <c r="E2768" t="s">
        <v>149</v>
      </c>
    </row>
    <row r="2769" spans="5:5" x14ac:dyDescent="0.25">
      <c r="E2769" t="s">
        <v>149</v>
      </c>
    </row>
    <row r="2770" spans="5:5" x14ac:dyDescent="0.25">
      <c r="E2770" t="s">
        <v>149</v>
      </c>
    </row>
    <row r="2771" spans="5:5" x14ac:dyDescent="0.25">
      <c r="E2771" t="s">
        <v>149</v>
      </c>
    </row>
    <row r="2772" spans="5:5" x14ac:dyDescent="0.25">
      <c r="E2772" t="s">
        <v>149</v>
      </c>
    </row>
    <row r="2773" spans="5:5" x14ac:dyDescent="0.25">
      <c r="E2773" t="s">
        <v>149</v>
      </c>
    </row>
    <row r="2774" spans="5:5" x14ac:dyDescent="0.25">
      <c r="E2774" t="s">
        <v>149</v>
      </c>
    </row>
    <row r="2775" spans="5:5" x14ac:dyDescent="0.25">
      <c r="E2775" t="s">
        <v>149</v>
      </c>
    </row>
    <row r="2776" spans="5:5" x14ac:dyDescent="0.25">
      <c r="E2776" t="s">
        <v>149</v>
      </c>
    </row>
    <row r="2777" spans="5:5" x14ac:dyDescent="0.25">
      <c r="E2777" t="s">
        <v>149</v>
      </c>
    </row>
    <row r="2778" spans="5:5" x14ac:dyDescent="0.25">
      <c r="E2778" t="s">
        <v>149</v>
      </c>
    </row>
    <row r="2779" spans="5:5" x14ac:dyDescent="0.25">
      <c r="E2779" t="s">
        <v>149</v>
      </c>
    </row>
    <row r="2780" spans="5:5" x14ac:dyDescent="0.25">
      <c r="E2780" t="s">
        <v>149</v>
      </c>
    </row>
    <row r="2781" spans="5:5" x14ac:dyDescent="0.25">
      <c r="E2781" t="s">
        <v>149</v>
      </c>
    </row>
    <row r="2782" spans="5:5" x14ac:dyDescent="0.25">
      <c r="E2782" t="s">
        <v>149</v>
      </c>
    </row>
    <row r="2783" spans="5:5" x14ac:dyDescent="0.25">
      <c r="E2783" t="s">
        <v>149</v>
      </c>
    </row>
    <row r="2784" spans="5:5" x14ac:dyDescent="0.25">
      <c r="E2784" t="s">
        <v>149</v>
      </c>
    </row>
    <row r="2785" spans="5:5" x14ac:dyDescent="0.25">
      <c r="E2785" t="s">
        <v>149</v>
      </c>
    </row>
    <row r="2786" spans="5:5" x14ac:dyDescent="0.25">
      <c r="E2786" t="s">
        <v>149</v>
      </c>
    </row>
    <row r="2787" spans="5:5" x14ac:dyDescent="0.25">
      <c r="E2787" t="s">
        <v>149</v>
      </c>
    </row>
    <row r="2788" spans="5:5" x14ac:dyDescent="0.25">
      <c r="E2788" t="s">
        <v>149</v>
      </c>
    </row>
    <row r="2789" spans="5:5" x14ac:dyDescent="0.25">
      <c r="E2789" t="s">
        <v>149</v>
      </c>
    </row>
    <row r="2790" spans="5:5" x14ac:dyDescent="0.25">
      <c r="E2790" t="s">
        <v>149</v>
      </c>
    </row>
    <row r="2791" spans="5:5" x14ac:dyDescent="0.25">
      <c r="E2791" t="s">
        <v>149</v>
      </c>
    </row>
    <row r="2792" spans="5:5" x14ac:dyDescent="0.25">
      <c r="E2792" t="s">
        <v>149</v>
      </c>
    </row>
    <row r="2793" spans="5:5" x14ac:dyDescent="0.25">
      <c r="E2793" t="s">
        <v>149</v>
      </c>
    </row>
    <row r="2794" spans="5:5" x14ac:dyDescent="0.25">
      <c r="E2794" t="s">
        <v>149</v>
      </c>
    </row>
    <row r="2795" spans="5:5" x14ac:dyDescent="0.25">
      <c r="E2795" t="s">
        <v>149</v>
      </c>
    </row>
    <row r="2796" spans="5:5" x14ac:dyDescent="0.25">
      <c r="E2796" t="s">
        <v>149</v>
      </c>
    </row>
    <row r="2797" spans="5:5" x14ac:dyDescent="0.25">
      <c r="E2797" t="s">
        <v>149</v>
      </c>
    </row>
    <row r="2798" spans="5:5" x14ac:dyDescent="0.25">
      <c r="E2798" t="s">
        <v>149</v>
      </c>
    </row>
    <row r="2799" spans="5:5" x14ac:dyDescent="0.25">
      <c r="E2799" t="s">
        <v>149</v>
      </c>
    </row>
    <row r="2800" spans="5:5" x14ac:dyDescent="0.25">
      <c r="E2800" t="s">
        <v>149</v>
      </c>
    </row>
    <row r="2801" spans="5:5" x14ac:dyDescent="0.25">
      <c r="E2801" t="s">
        <v>149</v>
      </c>
    </row>
    <row r="2802" spans="5:5" x14ac:dyDescent="0.25">
      <c r="E2802" t="s">
        <v>149</v>
      </c>
    </row>
    <row r="2803" spans="5:5" x14ac:dyDescent="0.25">
      <c r="E2803" t="s">
        <v>149</v>
      </c>
    </row>
    <row r="2804" spans="5:5" x14ac:dyDescent="0.25">
      <c r="E2804" t="s">
        <v>149</v>
      </c>
    </row>
    <row r="2805" spans="5:5" x14ac:dyDescent="0.25">
      <c r="E2805" t="s">
        <v>149</v>
      </c>
    </row>
    <row r="2806" spans="5:5" x14ac:dyDescent="0.25">
      <c r="E2806" t="s">
        <v>149</v>
      </c>
    </row>
    <row r="2807" spans="5:5" x14ac:dyDescent="0.25">
      <c r="E2807" t="s">
        <v>149</v>
      </c>
    </row>
    <row r="2808" spans="5:5" x14ac:dyDescent="0.25">
      <c r="E2808" t="s">
        <v>149</v>
      </c>
    </row>
    <row r="2809" spans="5:5" x14ac:dyDescent="0.25">
      <c r="E2809" t="s">
        <v>149</v>
      </c>
    </row>
    <row r="2810" spans="5:5" x14ac:dyDescent="0.25">
      <c r="E2810" t="s">
        <v>149</v>
      </c>
    </row>
    <row r="2811" spans="5:5" x14ac:dyDescent="0.25">
      <c r="E2811" t="s">
        <v>149</v>
      </c>
    </row>
    <row r="2812" spans="5:5" x14ac:dyDescent="0.25">
      <c r="E2812" t="s">
        <v>149</v>
      </c>
    </row>
    <row r="2813" spans="5:5" x14ac:dyDescent="0.25">
      <c r="E2813" t="s">
        <v>149</v>
      </c>
    </row>
    <row r="2814" spans="5:5" x14ac:dyDescent="0.25">
      <c r="E2814" t="s">
        <v>149</v>
      </c>
    </row>
    <row r="2815" spans="5:5" x14ac:dyDescent="0.25">
      <c r="E2815" t="s">
        <v>149</v>
      </c>
    </row>
    <row r="2816" spans="5:5" x14ac:dyDescent="0.25">
      <c r="E2816" t="s">
        <v>149</v>
      </c>
    </row>
    <row r="2817" spans="5:5" x14ac:dyDescent="0.25">
      <c r="E2817" t="s">
        <v>149</v>
      </c>
    </row>
    <row r="2818" spans="5:5" x14ac:dyDescent="0.25">
      <c r="E2818" t="s">
        <v>149</v>
      </c>
    </row>
    <row r="2819" spans="5:5" x14ac:dyDescent="0.25">
      <c r="E2819" t="s">
        <v>149</v>
      </c>
    </row>
    <row r="2820" spans="5:5" x14ac:dyDescent="0.25">
      <c r="E2820" t="s">
        <v>149</v>
      </c>
    </row>
    <row r="2821" spans="5:5" x14ac:dyDescent="0.25">
      <c r="E2821" t="s">
        <v>149</v>
      </c>
    </row>
    <row r="2822" spans="5:5" x14ac:dyDescent="0.25">
      <c r="E2822" t="s">
        <v>149</v>
      </c>
    </row>
    <row r="2823" spans="5:5" x14ac:dyDescent="0.25">
      <c r="E2823" t="s">
        <v>149</v>
      </c>
    </row>
    <row r="2824" spans="5:5" x14ac:dyDescent="0.25">
      <c r="E2824" t="s">
        <v>149</v>
      </c>
    </row>
    <row r="2825" spans="5:5" x14ac:dyDescent="0.25">
      <c r="E2825" t="s">
        <v>149</v>
      </c>
    </row>
    <row r="2826" spans="5:5" x14ac:dyDescent="0.25">
      <c r="E2826" t="s">
        <v>149</v>
      </c>
    </row>
    <row r="2827" spans="5:5" x14ac:dyDescent="0.25">
      <c r="E2827" t="s">
        <v>149</v>
      </c>
    </row>
    <row r="2828" spans="5:5" x14ac:dyDescent="0.25">
      <c r="E2828" t="s">
        <v>149</v>
      </c>
    </row>
    <row r="2829" spans="5:5" x14ac:dyDescent="0.25">
      <c r="E2829" t="s">
        <v>149</v>
      </c>
    </row>
    <row r="2830" spans="5:5" x14ac:dyDescent="0.25">
      <c r="E2830" t="s">
        <v>149</v>
      </c>
    </row>
    <row r="2831" spans="5:5" x14ac:dyDescent="0.25">
      <c r="E2831" t="s">
        <v>149</v>
      </c>
    </row>
    <row r="2832" spans="5:5" x14ac:dyDescent="0.25">
      <c r="E2832" t="s">
        <v>149</v>
      </c>
    </row>
    <row r="2833" spans="5:5" x14ac:dyDescent="0.25">
      <c r="E2833" t="s">
        <v>149</v>
      </c>
    </row>
    <row r="2834" spans="5:5" x14ac:dyDescent="0.25">
      <c r="E2834" t="s">
        <v>149</v>
      </c>
    </row>
    <row r="2835" spans="5:5" x14ac:dyDescent="0.25">
      <c r="E2835" t="s">
        <v>149</v>
      </c>
    </row>
    <row r="2836" spans="5:5" x14ac:dyDescent="0.25">
      <c r="E2836" t="s">
        <v>149</v>
      </c>
    </row>
    <row r="2837" spans="5:5" x14ac:dyDescent="0.25">
      <c r="E2837" t="s">
        <v>149</v>
      </c>
    </row>
    <row r="2838" spans="5:5" x14ac:dyDescent="0.25">
      <c r="E2838" t="s">
        <v>149</v>
      </c>
    </row>
    <row r="2839" spans="5:5" x14ac:dyDescent="0.25">
      <c r="E2839" t="s">
        <v>149</v>
      </c>
    </row>
    <row r="2840" spans="5:5" x14ac:dyDescent="0.25">
      <c r="E2840" t="s">
        <v>149</v>
      </c>
    </row>
    <row r="2841" spans="5:5" x14ac:dyDescent="0.25">
      <c r="E2841" t="s">
        <v>149</v>
      </c>
    </row>
    <row r="2842" spans="5:5" x14ac:dyDescent="0.25">
      <c r="E2842" t="s">
        <v>149</v>
      </c>
    </row>
    <row r="2843" spans="5:5" x14ac:dyDescent="0.25">
      <c r="E2843" t="s">
        <v>149</v>
      </c>
    </row>
    <row r="2844" spans="5:5" x14ac:dyDescent="0.25">
      <c r="E2844" t="s">
        <v>149</v>
      </c>
    </row>
    <row r="2845" spans="5:5" x14ac:dyDescent="0.25">
      <c r="E2845" t="s">
        <v>149</v>
      </c>
    </row>
    <row r="2846" spans="5:5" x14ac:dyDescent="0.25">
      <c r="E2846" t="s">
        <v>149</v>
      </c>
    </row>
    <row r="2847" spans="5:5" x14ac:dyDescent="0.25">
      <c r="E2847" t="s">
        <v>149</v>
      </c>
    </row>
    <row r="2848" spans="5:5" x14ac:dyDescent="0.25">
      <c r="E2848" t="s">
        <v>149</v>
      </c>
    </row>
    <row r="2849" spans="5:5" x14ac:dyDescent="0.25">
      <c r="E2849" t="s">
        <v>149</v>
      </c>
    </row>
    <row r="2850" spans="5:5" x14ac:dyDescent="0.25">
      <c r="E2850" t="s">
        <v>149</v>
      </c>
    </row>
    <row r="2851" spans="5:5" x14ac:dyDescent="0.25">
      <c r="E2851" t="s">
        <v>149</v>
      </c>
    </row>
    <row r="2852" spans="5:5" x14ac:dyDescent="0.25">
      <c r="E2852" t="s">
        <v>149</v>
      </c>
    </row>
    <row r="2853" spans="5:5" x14ac:dyDescent="0.25">
      <c r="E2853" t="s">
        <v>149</v>
      </c>
    </row>
    <row r="2854" spans="5:5" x14ac:dyDescent="0.25">
      <c r="E2854" t="s">
        <v>149</v>
      </c>
    </row>
    <row r="2855" spans="5:5" x14ac:dyDescent="0.25">
      <c r="E2855" t="s">
        <v>149</v>
      </c>
    </row>
    <row r="2856" spans="5:5" x14ac:dyDescent="0.25">
      <c r="E2856" t="s">
        <v>149</v>
      </c>
    </row>
    <row r="2857" spans="5:5" x14ac:dyDescent="0.25">
      <c r="E2857" t="s">
        <v>149</v>
      </c>
    </row>
    <row r="2858" spans="5:5" x14ac:dyDescent="0.25">
      <c r="E2858" t="s">
        <v>149</v>
      </c>
    </row>
    <row r="2859" spans="5:5" x14ac:dyDescent="0.25">
      <c r="E2859" t="s">
        <v>149</v>
      </c>
    </row>
    <row r="2860" spans="5:5" x14ac:dyDescent="0.25">
      <c r="E2860" t="s">
        <v>149</v>
      </c>
    </row>
    <row r="2861" spans="5:5" x14ac:dyDescent="0.25">
      <c r="E2861" t="s">
        <v>149</v>
      </c>
    </row>
    <row r="2862" spans="5:5" x14ac:dyDescent="0.25">
      <c r="E2862" t="s">
        <v>149</v>
      </c>
    </row>
    <row r="2863" spans="5:5" x14ac:dyDescent="0.25">
      <c r="E2863" t="s">
        <v>149</v>
      </c>
    </row>
    <row r="2864" spans="5:5" x14ac:dyDescent="0.25">
      <c r="E2864" t="s">
        <v>149</v>
      </c>
    </row>
    <row r="2865" spans="5:5" x14ac:dyDescent="0.25">
      <c r="E2865" t="s">
        <v>149</v>
      </c>
    </row>
    <row r="2866" spans="5:5" x14ac:dyDescent="0.25">
      <c r="E2866" t="s">
        <v>149</v>
      </c>
    </row>
    <row r="2867" spans="5:5" x14ac:dyDescent="0.25">
      <c r="E2867" t="s">
        <v>149</v>
      </c>
    </row>
    <row r="2868" spans="5:5" x14ac:dyDescent="0.25">
      <c r="E2868" t="s">
        <v>149</v>
      </c>
    </row>
    <row r="2869" spans="5:5" x14ac:dyDescent="0.25">
      <c r="E2869" t="s">
        <v>149</v>
      </c>
    </row>
    <row r="2870" spans="5:5" x14ac:dyDescent="0.25">
      <c r="E2870" t="s">
        <v>149</v>
      </c>
    </row>
    <row r="2871" spans="5:5" x14ac:dyDescent="0.25">
      <c r="E2871" t="s">
        <v>149</v>
      </c>
    </row>
    <row r="2872" spans="5:5" x14ac:dyDescent="0.25">
      <c r="E2872" t="s">
        <v>149</v>
      </c>
    </row>
    <row r="2873" spans="5:5" x14ac:dyDescent="0.25">
      <c r="E2873" t="s">
        <v>149</v>
      </c>
    </row>
    <row r="2874" spans="5:5" x14ac:dyDescent="0.25">
      <c r="E2874" t="s">
        <v>149</v>
      </c>
    </row>
    <row r="2875" spans="5:5" x14ac:dyDescent="0.25">
      <c r="E2875" t="s">
        <v>149</v>
      </c>
    </row>
    <row r="2876" spans="5:5" x14ac:dyDescent="0.25">
      <c r="E2876" t="s">
        <v>149</v>
      </c>
    </row>
    <row r="2877" spans="5:5" x14ac:dyDescent="0.25">
      <c r="E2877" t="s">
        <v>149</v>
      </c>
    </row>
    <row r="2878" spans="5:5" x14ac:dyDescent="0.25">
      <c r="E2878" t="s">
        <v>149</v>
      </c>
    </row>
    <row r="2879" spans="5:5" x14ac:dyDescent="0.25">
      <c r="E2879" t="s">
        <v>149</v>
      </c>
    </row>
    <row r="2880" spans="5:5" x14ac:dyDescent="0.25">
      <c r="E2880" t="s">
        <v>149</v>
      </c>
    </row>
    <row r="2881" spans="5:5" x14ac:dyDescent="0.25">
      <c r="E2881" t="s">
        <v>149</v>
      </c>
    </row>
    <row r="2882" spans="5:5" x14ac:dyDescent="0.25">
      <c r="E2882" t="s">
        <v>149</v>
      </c>
    </row>
    <row r="2883" spans="5:5" x14ac:dyDescent="0.25">
      <c r="E2883" t="s">
        <v>149</v>
      </c>
    </row>
    <row r="2884" spans="5:5" x14ac:dyDescent="0.25">
      <c r="E2884" t="s">
        <v>149</v>
      </c>
    </row>
    <row r="2885" spans="5:5" x14ac:dyDescent="0.25">
      <c r="E2885" t="s">
        <v>149</v>
      </c>
    </row>
    <row r="2886" spans="5:5" x14ac:dyDescent="0.25">
      <c r="E2886" t="s">
        <v>149</v>
      </c>
    </row>
    <row r="2887" spans="5:5" x14ac:dyDescent="0.25">
      <c r="E2887" t="s">
        <v>149</v>
      </c>
    </row>
    <row r="2888" spans="5:5" x14ac:dyDescent="0.25">
      <c r="E2888" t="s">
        <v>149</v>
      </c>
    </row>
    <row r="2889" spans="5:5" x14ac:dyDescent="0.25">
      <c r="E2889" t="s">
        <v>149</v>
      </c>
    </row>
    <row r="2890" spans="5:5" x14ac:dyDescent="0.25">
      <c r="E2890" t="s">
        <v>149</v>
      </c>
    </row>
    <row r="2891" spans="5:5" x14ac:dyDescent="0.25">
      <c r="E2891" t="s">
        <v>149</v>
      </c>
    </row>
    <row r="2892" spans="5:5" x14ac:dyDescent="0.25">
      <c r="E2892" t="s">
        <v>149</v>
      </c>
    </row>
    <row r="2893" spans="5:5" x14ac:dyDescent="0.25">
      <c r="E2893" t="s">
        <v>149</v>
      </c>
    </row>
    <row r="2894" spans="5:5" x14ac:dyDescent="0.25">
      <c r="E2894" t="s">
        <v>149</v>
      </c>
    </row>
    <row r="2895" spans="5:5" x14ac:dyDescent="0.25">
      <c r="E2895" t="s">
        <v>149</v>
      </c>
    </row>
    <row r="2896" spans="5:5" x14ac:dyDescent="0.25">
      <c r="E2896" t="s">
        <v>149</v>
      </c>
    </row>
    <row r="2897" spans="5:5" x14ac:dyDescent="0.25">
      <c r="E2897" t="s">
        <v>149</v>
      </c>
    </row>
    <row r="2898" spans="5:5" x14ac:dyDescent="0.25">
      <c r="E2898" t="s">
        <v>149</v>
      </c>
    </row>
    <row r="2899" spans="5:5" x14ac:dyDescent="0.25">
      <c r="E2899" t="s">
        <v>149</v>
      </c>
    </row>
    <row r="2900" spans="5:5" x14ac:dyDescent="0.25">
      <c r="E2900" t="s">
        <v>149</v>
      </c>
    </row>
    <row r="2901" spans="5:5" x14ac:dyDescent="0.25">
      <c r="E2901" t="s">
        <v>149</v>
      </c>
    </row>
    <row r="2902" spans="5:5" x14ac:dyDescent="0.25">
      <c r="E2902" t="s">
        <v>149</v>
      </c>
    </row>
    <row r="2903" spans="5:5" x14ac:dyDescent="0.25">
      <c r="E2903" t="s">
        <v>149</v>
      </c>
    </row>
    <row r="2904" spans="5:5" x14ac:dyDescent="0.25">
      <c r="E2904" t="s">
        <v>149</v>
      </c>
    </row>
    <row r="2905" spans="5:5" x14ac:dyDescent="0.25">
      <c r="E2905" t="s">
        <v>149</v>
      </c>
    </row>
    <row r="2906" spans="5:5" x14ac:dyDescent="0.25">
      <c r="E2906" t="s">
        <v>149</v>
      </c>
    </row>
    <row r="2907" spans="5:5" x14ac:dyDescent="0.25">
      <c r="E2907" t="s">
        <v>149</v>
      </c>
    </row>
    <row r="2908" spans="5:5" x14ac:dyDescent="0.25">
      <c r="E2908" t="s">
        <v>149</v>
      </c>
    </row>
    <row r="2909" spans="5:5" x14ac:dyDescent="0.25">
      <c r="E2909" t="s">
        <v>149</v>
      </c>
    </row>
    <row r="2910" spans="5:5" x14ac:dyDescent="0.25">
      <c r="E2910" t="s">
        <v>149</v>
      </c>
    </row>
    <row r="2911" spans="5:5" x14ac:dyDescent="0.25">
      <c r="E2911" t="s">
        <v>149</v>
      </c>
    </row>
    <row r="2912" spans="5:5" x14ac:dyDescent="0.25">
      <c r="E2912" t="s">
        <v>149</v>
      </c>
    </row>
    <row r="2913" spans="5:5" x14ac:dyDescent="0.25">
      <c r="E2913" t="s">
        <v>149</v>
      </c>
    </row>
    <row r="2914" spans="5:5" x14ac:dyDescent="0.25">
      <c r="E2914" t="s">
        <v>149</v>
      </c>
    </row>
    <row r="2915" spans="5:5" x14ac:dyDescent="0.25">
      <c r="E2915" t="s">
        <v>149</v>
      </c>
    </row>
    <row r="2916" spans="5:5" x14ac:dyDescent="0.25">
      <c r="E2916" t="s">
        <v>149</v>
      </c>
    </row>
    <row r="2917" spans="5:5" x14ac:dyDescent="0.25">
      <c r="E2917" t="s">
        <v>149</v>
      </c>
    </row>
    <row r="2918" spans="5:5" x14ac:dyDescent="0.25">
      <c r="E2918" t="s">
        <v>149</v>
      </c>
    </row>
    <row r="2919" spans="5:5" x14ac:dyDescent="0.25">
      <c r="E2919" t="s">
        <v>149</v>
      </c>
    </row>
    <row r="2920" spans="5:5" x14ac:dyDescent="0.25">
      <c r="E2920" t="s">
        <v>149</v>
      </c>
    </row>
    <row r="2921" spans="5:5" x14ac:dyDescent="0.25">
      <c r="E2921" t="s">
        <v>149</v>
      </c>
    </row>
    <row r="2922" spans="5:5" x14ac:dyDescent="0.25">
      <c r="E2922" t="s">
        <v>149</v>
      </c>
    </row>
    <row r="2923" spans="5:5" x14ac:dyDescent="0.25">
      <c r="E2923" t="s">
        <v>149</v>
      </c>
    </row>
    <row r="2924" spans="5:5" x14ac:dyDescent="0.25">
      <c r="E2924" t="s">
        <v>149</v>
      </c>
    </row>
    <row r="2925" spans="5:5" x14ac:dyDescent="0.25">
      <c r="E2925" t="s">
        <v>149</v>
      </c>
    </row>
    <row r="2926" spans="5:5" x14ac:dyDescent="0.25">
      <c r="E2926" t="s">
        <v>149</v>
      </c>
    </row>
    <row r="2927" spans="5:5" x14ac:dyDescent="0.25">
      <c r="E2927" t="s">
        <v>149</v>
      </c>
    </row>
    <row r="2928" spans="5:5" x14ac:dyDescent="0.25">
      <c r="E2928" t="s">
        <v>149</v>
      </c>
    </row>
    <row r="2929" spans="5:5" x14ac:dyDescent="0.25">
      <c r="E2929" t="s">
        <v>149</v>
      </c>
    </row>
    <row r="2930" spans="5:5" x14ac:dyDescent="0.25">
      <c r="E2930" t="s">
        <v>149</v>
      </c>
    </row>
    <row r="2931" spans="5:5" x14ac:dyDescent="0.25">
      <c r="E2931" t="s">
        <v>149</v>
      </c>
    </row>
    <row r="2932" spans="5:5" x14ac:dyDescent="0.25">
      <c r="E2932" t="s">
        <v>149</v>
      </c>
    </row>
    <row r="2933" spans="5:5" x14ac:dyDescent="0.25">
      <c r="E2933" t="s">
        <v>149</v>
      </c>
    </row>
    <row r="2934" spans="5:5" x14ac:dyDescent="0.25">
      <c r="E2934" t="s">
        <v>149</v>
      </c>
    </row>
    <row r="2935" spans="5:5" x14ac:dyDescent="0.25">
      <c r="E2935" t="s">
        <v>149</v>
      </c>
    </row>
    <row r="2936" spans="5:5" x14ac:dyDescent="0.25">
      <c r="E2936" t="s">
        <v>149</v>
      </c>
    </row>
    <row r="2937" spans="5:5" x14ac:dyDescent="0.25">
      <c r="E2937" t="s">
        <v>149</v>
      </c>
    </row>
    <row r="2938" spans="5:5" x14ac:dyDescent="0.25">
      <c r="E2938" t="s">
        <v>149</v>
      </c>
    </row>
    <row r="2939" spans="5:5" x14ac:dyDescent="0.25">
      <c r="E2939" t="s">
        <v>149</v>
      </c>
    </row>
    <row r="2940" spans="5:5" x14ac:dyDescent="0.25">
      <c r="E2940" t="s">
        <v>149</v>
      </c>
    </row>
    <row r="2941" spans="5:5" x14ac:dyDescent="0.25">
      <c r="E2941" t="s">
        <v>149</v>
      </c>
    </row>
    <row r="2942" spans="5:5" x14ac:dyDescent="0.25">
      <c r="E2942" t="s">
        <v>149</v>
      </c>
    </row>
    <row r="2943" spans="5:5" x14ac:dyDescent="0.25">
      <c r="E2943" t="s">
        <v>149</v>
      </c>
    </row>
    <row r="2944" spans="5:5" x14ac:dyDescent="0.25">
      <c r="E2944" t="s">
        <v>149</v>
      </c>
    </row>
    <row r="2945" spans="5:5" x14ac:dyDescent="0.25">
      <c r="E2945" t="s">
        <v>149</v>
      </c>
    </row>
    <row r="2946" spans="5:5" x14ac:dyDescent="0.25">
      <c r="E2946" t="s">
        <v>149</v>
      </c>
    </row>
    <row r="2947" spans="5:5" x14ac:dyDescent="0.25">
      <c r="E2947" t="s">
        <v>149</v>
      </c>
    </row>
    <row r="2948" spans="5:5" x14ac:dyDescent="0.25">
      <c r="E2948" t="s">
        <v>149</v>
      </c>
    </row>
    <row r="2949" spans="5:5" x14ac:dyDescent="0.25">
      <c r="E2949" t="s">
        <v>149</v>
      </c>
    </row>
    <row r="2950" spans="5:5" x14ac:dyDescent="0.25">
      <c r="E2950" t="s">
        <v>149</v>
      </c>
    </row>
    <row r="2951" spans="5:5" x14ac:dyDescent="0.25">
      <c r="E2951" t="s">
        <v>149</v>
      </c>
    </row>
    <row r="2952" spans="5:5" x14ac:dyDescent="0.25">
      <c r="E2952" t="s">
        <v>149</v>
      </c>
    </row>
    <row r="2953" spans="5:5" x14ac:dyDescent="0.25">
      <c r="E2953" t="s">
        <v>149</v>
      </c>
    </row>
    <row r="2954" spans="5:5" x14ac:dyDescent="0.25">
      <c r="E2954" t="s">
        <v>149</v>
      </c>
    </row>
    <row r="2955" spans="5:5" x14ac:dyDescent="0.25">
      <c r="E2955" t="s">
        <v>149</v>
      </c>
    </row>
    <row r="2956" spans="5:5" x14ac:dyDescent="0.25">
      <c r="E2956" t="s">
        <v>149</v>
      </c>
    </row>
    <row r="2957" spans="5:5" x14ac:dyDescent="0.25">
      <c r="E2957" t="s">
        <v>149</v>
      </c>
    </row>
    <row r="2958" spans="5:5" x14ac:dyDescent="0.25">
      <c r="E2958" t="s">
        <v>149</v>
      </c>
    </row>
    <row r="2959" spans="5:5" x14ac:dyDescent="0.25">
      <c r="E2959" t="s">
        <v>149</v>
      </c>
    </row>
    <row r="2960" spans="5:5" x14ac:dyDescent="0.25">
      <c r="E2960" t="s">
        <v>149</v>
      </c>
    </row>
    <row r="2961" spans="5:5" x14ac:dyDescent="0.25">
      <c r="E2961" t="s">
        <v>149</v>
      </c>
    </row>
    <row r="2962" spans="5:5" x14ac:dyDescent="0.25">
      <c r="E2962" t="s">
        <v>149</v>
      </c>
    </row>
    <row r="2963" spans="5:5" x14ac:dyDescent="0.25">
      <c r="E2963" t="s">
        <v>149</v>
      </c>
    </row>
    <row r="2964" spans="5:5" x14ac:dyDescent="0.25">
      <c r="E2964" t="s">
        <v>149</v>
      </c>
    </row>
    <row r="2965" spans="5:5" x14ac:dyDescent="0.25">
      <c r="E2965" t="s">
        <v>149</v>
      </c>
    </row>
    <row r="2966" spans="5:5" x14ac:dyDescent="0.25">
      <c r="E2966" t="s">
        <v>149</v>
      </c>
    </row>
    <row r="2967" spans="5:5" x14ac:dyDescent="0.25">
      <c r="E2967" t="s">
        <v>149</v>
      </c>
    </row>
    <row r="2968" spans="5:5" x14ac:dyDescent="0.25">
      <c r="E2968" t="s">
        <v>149</v>
      </c>
    </row>
    <row r="2969" spans="5:5" x14ac:dyDescent="0.25">
      <c r="E2969" t="s">
        <v>149</v>
      </c>
    </row>
    <row r="2970" spans="5:5" x14ac:dyDescent="0.25">
      <c r="E2970" t="s">
        <v>149</v>
      </c>
    </row>
    <row r="2971" spans="5:5" x14ac:dyDescent="0.25">
      <c r="E2971" t="s">
        <v>149</v>
      </c>
    </row>
    <row r="2972" spans="5:5" x14ac:dyDescent="0.25">
      <c r="E2972" t="s">
        <v>149</v>
      </c>
    </row>
    <row r="2973" spans="5:5" x14ac:dyDescent="0.25">
      <c r="E2973" t="s">
        <v>149</v>
      </c>
    </row>
    <row r="2974" spans="5:5" x14ac:dyDescent="0.25">
      <c r="E2974" t="s">
        <v>149</v>
      </c>
    </row>
    <row r="2975" spans="5:5" x14ac:dyDescent="0.25">
      <c r="E2975" t="s">
        <v>149</v>
      </c>
    </row>
    <row r="2976" spans="5:5" x14ac:dyDescent="0.25">
      <c r="E2976" t="s">
        <v>149</v>
      </c>
    </row>
    <row r="2977" spans="5:5" x14ac:dyDescent="0.25">
      <c r="E2977" t="s">
        <v>149</v>
      </c>
    </row>
    <row r="2978" spans="5:5" x14ac:dyDescent="0.25">
      <c r="E2978" t="s">
        <v>149</v>
      </c>
    </row>
    <row r="2979" spans="5:5" x14ac:dyDescent="0.25">
      <c r="E2979" t="s">
        <v>149</v>
      </c>
    </row>
    <row r="2980" spans="5:5" x14ac:dyDescent="0.25">
      <c r="E2980" t="s">
        <v>149</v>
      </c>
    </row>
    <row r="2981" spans="5:5" x14ac:dyDescent="0.25">
      <c r="E2981" t="s">
        <v>149</v>
      </c>
    </row>
    <row r="2982" spans="5:5" x14ac:dyDescent="0.25">
      <c r="E2982" t="s">
        <v>149</v>
      </c>
    </row>
    <row r="2983" spans="5:5" x14ac:dyDescent="0.25">
      <c r="E2983" t="s">
        <v>149</v>
      </c>
    </row>
    <row r="2984" spans="5:5" x14ac:dyDescent="0.25">
      <c r="E2984" t="s">
        <v>149</v>
      </c>
    </row>
    <row r="2985" spans="5:5" x14ac:dyDescent="0.25">
      <c r="E2985" t="s">
        <v>149</v>
      </c>
    </row>
    <row r="2986" spans="5:5" x14ac:dyDescent="0.25">
      <c r="E2986" t="s">
        <v>149</v>
      </c>
    </row>
    <row r="2987" spans="5:5" x14ac:dyDescent="0.25">
      <c r="E2987" t="s">
        <v>149</v>
      </c>
    </row>
    <row r="2988" spans="5:5" x14ac:dyDescent="0.25">
      <c r="E2988" t="s">
        <v>149</v>
      </c>
    </row>
    <row r="2989" spans="5:5" x14ac:dyDescent="0.25">
      <c r="E2989" t="s">
        <v>149</v>
      </c>
    </row>
    <row r="2990" spans="5:5" x14ac:dyDescent="0.25">
      <c r="E2990" t="s">
        <v>149</v>
      </c>
    </row>
    <row r="2991" spans="5:5" x14ac:dyDescent="0.25">
      <c r="E2991" t="s">
        <v>149</v>
      </c>
    </row>
    <row r="2992" spans="5:5" x14ac:dyDescent="0.25">
      <c r="E2992" t="s">
        <v>149</v>
      </c>
    </row>
    <row r="2993" spans="5:5" x14ac:dyDescent="0.25">
      <c r="E2993" t="s">
        <v>149</v>
      </c>
    </row>
    <row r="2994" spans="5:5" x14ac:dyDescent="0.25">
      <c r="E2994" t="s">
        <v>149</v>
      </c>
    </row>
    <row r="2995" spans="5:5" x14ac:dyDescent="0.25">
      <c r="E2995" t="s">
        <v>149</v>
      </c>
    </row>
    <row r="2996" spans="5:5" x14ac:dyDescent="0.25">
      <c r="E2996" t="s">
        <v>149</v>
      </c>
    </row>
    <row r="2997" spans="5:5" x14ac:dyDescent="0.25">
      <c r="E2997" t="s">
        <v>149</v>
      </c>
    </row>
    <row r="2998" spans="5:5" x14ac:dyDescent="0.25">
      <c r="E2998" t="s">
        <v>149</v>
      </c>
    </row>
    <row r="2999" spans="5:5" x14ac:dyDescent="0.25">
      <c r="E2999" t="s">
        <v>149</v>
      </c>
    </row>
    <row r="3000" spans="5:5" x14ac:dyDescent="0.25">
      <c r="E3000" t="s">
        <v>149</v>
      </c>
    </row>
    <row r="3001" spans="5:5" x14ac:dyDescent="0.25">
      <c r="E3001" t="s">
        <v>149</v>
      </c>
    </row>
    <row r="3002" spans="5:5" x14ac:dyDescent="0.25">
      <c r="E3002" t="s">
        <v>149</v>
      </c>
    </row>
    <row r="3003" spans="5:5" x14ac:dyDescent="0.25">
      <c r="E3003" t="s">
        <v>149</v>
      </c>
    </row>
    <row r="3004" spans="5:5" x14ac:dyDescent="0.25">
      <c r="E3004" t="s">
        <v>149</v>
      </c>
    </row>
    <row r="3005" spans="5:5" x14ac:dyDescent="0.25">
      <c r="E3005" t="s">
        <v>149</v>
      </c>
    </row>
    <row r="3006" spans="5:5" x14ac:dyDescent="0.25">
      <c r="E3006" t="s">
        <v>149</v>
      </c>
    </row>
    <row r="3007" spans="5:5" x14ac:dyDescent="0.25">
      <c r="E3007" t="s">
        <v>149</v>
      </c>
    </row>
    <row r="3008" spans="5:5" x14ac:dyDescent="0.25">
      <c r="E3008" t="s">
        <v>149</v>
      </c>
    </row>
    <row r="3009" spans="5:5" x14ac:dyDescent="0.25">
      <c r="E3009" t="s">
        <v>149</v>
      </c>
    </row>
    <row r="3010" spans="5:5" x14ac:dyDescent="0.25">
      <c r="E3010" t="s">
        <v>149</v>
      </c>
    </row>
    <row r="3011" spans="5:5" x14ac:dyDescent="0.25">
      <c r="E3011" t="s">
        <v>149</v>
      </c>
    </row>
    <row r="3012" spans="5:5" x14ac:dyDescent="0.25">
      <c r="E3012" t="s">
        <v>149</v>
      </c>
    </row>
    <row r="3013" spans="5:5" x14ac:dyDescent="0.25">
      <c r="E3013" t="s">
        <v>149</v>
      </c>
    </row>
    <row r="3014" spans="5:5" x14ac:dyDescent="0.25">
      <c r="E3014" t="s">
        <v>149</v>
      </c>
    </row>
    <row r="3015" spans="5:5" x14ac:dyDescent="0.25">
      <c r="E3015" t="s">
        <v>149</v>
      </c>
    </row>
    <row r="3016" spans="5:5" x14ac:dyDescent="0.25">
      <c r="E3016" t="s">
        <v>149</v>
      </c>
    </row>
    <row r="3017" spans="5:5" x14ac:dyDescent="0.25">
      <c r="E3017" t="s">
        <v>149</v>
      </c>
    </row>
    <row r="3018" spans="5:5" x14ac:dyDescent="0.25">
      <c r="E3018" t="s">
        <v>149</v>
      </c>
    </row>
    <row r="3019" spans="5:5" x14ac:dyDescent="0.25">
      <c r="E3019" t="s">
        <v>149</v>
      </c>
    </row>
    <row r="3020" spans="5:5" x14ac:dyDescent="0.25">
      <c r="E3020" t="s">
        <v>149</v>
      </c>
    </row>
    <row r="3021" spans="5:5" x14ac:dyDescent="0.25">
      <c r="E3021" t="s">
        <v>149</v>
      </c>
    </row>
    <row r="3022" spans="5:5" x14ac:dyDescent="0.25">
      <c r="E3022" t="s">
        <v>149</v>
      </c>
    </row>
    <row r="3023" spans="5:5" x14ac:dyDescent="0.25">
      <c r="E3023" t="s">
        <v>149</v>
      </c>
    </row>
    <row r="3024" spans="5:5" x14ac:dyDescent="0.25">
      <c r="E3024" t="s">
        <v>149</v>
      </c>
    </row>
    <row r="3025" spans="5:5" x14ac:dyDescent="0.25">
      <c r="E3025" t="s">
        <v>149</v>
      </c>
    </row>
    <row r="3026" spans="5:5" x14ac:dyDescent="0.25">
      <c r="E3026" t="s">
        <v>149</v>
      </c>
    </row>
    <row r="3027" spans="5:5" x14ac:dyDescent="0.25">
      <c r="E3027" t="s">
        <v>149</v>
      </c>
    </row>
    <row r="3028" spans="5:5" x14ac:dyDescent="0.25">
      <c r="E3028" t="s">
        <v>149</v>
      </c>
    </row>
    <row r="3029" spans="5:5" x14ac:dyDescent="0.25">
      <c r="E3029" t="s">
        <v>149</v>
      </c>
    </row>
    <row r="3030" spans="5:5" x14ac:dyDescent="0.25">
      <c r="E3030" t="s">
        <v>149</v>
      </c>
    </row>
    <row r="3031" spans="5:5" x14ac:dyDescent="0.25">
      <c r="E3031" t="s">
        <v>149</v>
      </c>
    </row>
    <row r="3032" spans="5:5" x14ac:dyDescent="0.25">
      <c r="E3032" t="s">
        <v>149</v>
      </c>
    </row>
    <row r="3033" spans="5:5" x14ac:dyDescent="0.25">
      <c r="E3033" t="s">
        <v>149</v>
      </c>
    </row>
    <row r="3034" spans="5:5" x14ac:dyDescent="0.25">
      <c r="E3034" t="s">
        <v>149</v>
      </c>
    </row>
    <row r="3035" spans="5:5" x14ac:dyDescent="0.25">
      <c r="E3035" t="s">
        <v>149</v>
      </c>
    </row>
    <row r="3036" spans="5:5" x14ac:dyDescent="0.25">
      <c r="E3036" t="s">
        <v>149</v>
      </c>
    </row>
    <row r="3037" spans="5:5" x14ac:dyDescent="0.25">
      <c r="E3037" t="s">
        <v>149</v>
      </c>
    </row>
    <row r="3038" spans="5:5" x14ac:dyDescent="0.25">
      <c r="E3038" t="s">
        <v>149</v>
      </c>
    </row>
    <row r="3039" spans="5:5" x14ac:dyDescent="0.25">
      <c r="E3039" t="s">
        <v>149</v>
      </c>
    </row>
    <row r="3040" spans="5:5" x14ac:dyDescent="0.25">
      <c r="E3040" t="s">
        <v>149</v>
      </c>
    </row>
    <row r="3041" spans="5:5" x14ac:dyDescent="0.25">
      <c r="E3041" t="s">
        <v>149</v>
      </c>
    </row>
    <row r="3042" spans="5:5" x14ac:dyDescent="0.25">
      <c r="E3042" t="s">
        <v>149</v>
      </c>
    </row>
    <row r="3043" spans="5:5" x14ac:dyDescent="0.25">
      <c r="E3043" t="s">
        <v>149</v>
      </c>
    </row>
    <row r="3044" spans="5:5" x14ac:dyDescent="0.25">
      <c r="E3044" t="s">
        <v>149</v>
      </c>
    </row>
    <row r="3045" spans="5:5" x14ac:dyDescent="0.25">
      <c r="E3045" t="s">
        <v>149</v>
      </c>
    </row>
    <row r="3046" spans="5:5" x14ac:dyDescent="0.25">
      <c r="E3046" t="s">
        <v>149</v>
      </c>
    </row>
    <row r="3047" spans="5:5" x14ac:dyDescent="0.25">
      <c r="E3047" t="s">
        <v>149</v>
      </c>
    </row>
    <row r="3048" spans="5:5" x14ac:dyDescent="0.25">
      <c r="E3048" t="s">
        <v>149</v>
      </c>
    </row>
    <row r="3049" spans="5:5" x14ac:dyDescent="0.25">
      <c r="E3049" t="s">
        <v>149</v>
      </c>
    </row>
    <row r="3050" spans="5:5" x14ac:dyDescent="0.25">
      <c r="E3050" t="s">
        <v>149</v>
      </c>
    </row>
    <row r="3051" spans="5:5" x14ac:dyDescent="0.25">
      <c r="E3051" t="s">
        <v>149</v>
      </c>
    </row>
    <row r="3052" spans="5:5" x14ac:dyDescent="0.25">
      <c r="E3052" t="s">
        <v>149</v>
      </c>
    </row>
    <row r="3053" spans="5:5" x14ac:dyDescent="0.25">
      <c r="E3053" t="s">
        <v>149</v>
      </c>
    </row>
    <row r="3054" spans="5:5" x14ac:dyDescent="0.25">
      <c r="E3054" t="s">
        <v>149</v>
      </c>
    </row>
    <row r="3055" spans="5:5" x14ac:dyDescent="0.25">
      <c r="E3055" t="s">
        <v>149</v>
      </c>
    </row>
    <row r="3056" spans="5:5" x14ac:dyDescent="0.25">
      <c r="E3056" t="s">
        <v>149</v>
      </c>
    </row>
    <row r="3057" spans="5:5" x14ac:dyDescent="0.25">
      <c r="E3057" t="s">
        <v>149</v>
      </c>
    </row>
    <row r="3058" spans="5:5" x14ac:dyDescent="0.25">
      <c r="E3058" t="s">
        <v>149</v>
      </c>
    </row>
    <row r="3059" spans="5:5" x14ac:dyDescent="0.25">
      <c r="E3059" t="s">
        <v>149</v>
      </c>
    </row>
    <row r="3060" spans="5:5" x14ac:dyDescent="0.25">
      <c r="E3060" t="s">
        <v>149</v>
      </c>
    </row>
    <row r="3061" spans="5:5" x14ac:dyDescent="0.25">
      <c r="E3061" t="s">
        <v>149</v>
      </c>
    </row>
    <row r="3062" spans="5:5" x14ac:dyDescent="0.25">
      <c r="E3062" t="s">
        <v>149</v>
      </c>
    </row>
    <row r="3063" spans="5:5" x14ac:dyDescent="0.25">
      <c r="E3063" t="s">
        <v>149</v>
      </c>
    </row>
    <row r="3064" spans="5:5" x14ac:dyDescent="0.25">
      <c r="E3064" t="s">
        <v>149</v>
      </c>
    </row>
    <row r="3065" spans="5:5" x14ac:dyDescent="0.25">
      <c r="E3065" t="s">
        <v>149</v>
      </c>
    </row>
    <row r="3066" spans="5:5" x14ac:dyDescent="0.25">
      <c r="E3066" t="s">
        <v>149</v>
      </c>
    </row>
    <row r="3067" spans="5:5" x14ac:dyDescent="0.25">
      <c r="E3067" t="s">
        <v>149</v>
      </c>
    </row>
    <row r="3068" spans="5:5" x14ac:dyDescent="0.25">
      <c r="E3068" t="s">
        <v>149</v>
      </c>
    </row>
    <row r="3069" spans="5:5" x14ac:dyDescent="0.25">
      <c r="E3069" t="s">
        <v>149</v>
      </c>
    </row>
    <row r="3070" spans="5:5" x14ac:dyDescent="0.25">
      <c r="E3070" t="s">
        <v>149</v>
      </c>
    </row>
    <row r="3071" spans="5:5" x14ac:dyDescent="0.25">
      <c r="E3071" t="s">
        <v>149</v>
      </c>
    </row>
    <row r="3072" spans="5:5" x14ac:dyDescent="0.25">
      <c r="E3072" t="s">
        <v>149</v>
      </c>
    </row>
    <row r="3073" spans="5:5" x14ac:dyDescent="0.25">
      <c r="E3073" t="s">
        <v>149</v>
      </c>
    </row>
    <row r="3074" spans="5:5" x14ac:dyDescent="0.25">
      <c r="E3074" t="s">
        <v>149</v>
      </c>
    </row>
    <row r="3075" spans="5:5" x14ac:dyDescent="0.25">
      <c r="E3075" t="s">
        <v>149</v>
      </c>
    </row>
    <row r="3076" spans="5:5" x14ac:dyDescent="0.25">
      <c r="E3076" t="s">
        <v>149</v>
      </c>
    </row>
    <row r="3077" spans="5:5" x14ac:dyDescent="0.25">
      <c r="E3077" t="s">
        <v>149</v>
      </c>
    </row>
    <row r="3078" spans="5:5" x14ac:dyDescent="0.25">
      <c r="E3078" t="s">
        <v>149</v>
      </c>
    </row>
    <row r="3079" spans="5:5" x14ac:dyDescent="0.25">
      <c r="E3079" t="s">
        <v>149</v>
      </c>
    </row>
    <row r="3080" spans="5:5" x14ac:dyDescent="0.25">
      <c r="E3080" t="s">
        <v>149</v>
      </c>
    </row>
    <row r="3081" spans="5:5" x14ac:dyDescent="0.25">
      <c r="E3081" t="s">
        <v>149</v>
      </c>
    </row>
    <row r="3082" spans="5:5" x14ac:dyDescent="0.25">
      <c r="E3082" t="s">
        <v>149</v>
      </c>
    </row>
    <row r="3083" spans="5:5" x14ac:dyDescent="0.25">
      <c r="E3083" t="s">
        <v>149</v>
      </c>
    </row>
    <row r="3084" spans="5:5" x14ac:dyDescent="0.25">
      <c r="E3084" t="s">
        <v>149</v>
      </c>
    </row>
    <row r="3085" spans="5:5" x14ac:dyDescent="0.25">
      <c r="E3085" t="s">
        <v>149</v>
      </c>
    </row>
    <row r="3086" spans="5:5" x14ac:dyDescent="0.25">
      <c r="E3086" t="s">
        <v>149</v>
      </c>
    </row>
    <row r="3087" spans="5:5" x14ac:dyDescent="0.25">
      <c r="E3087" t="s">
        <v>149</v>
      </c>
    </row>
    <row r="3088" spans="5:5" x14ac:dyDescent="0.25">
      <c r="E3088" t="s">
        <v>149</v>
      </c>
    </row>
    <row r="3089" spans="5:5" x14ac:dyDescent="0.25">
      <c r="E3089" t="s">
        <v>149</v>
      </c>
    </row>
    <row r="3090" spans="5:5" x14ac:dyDescent="0.25">
      <c r="E3090" t="s">
        <v>149</v>
      </c>
    </row>
    <row r="3091" spans="5:5" x14ac:dyDescent="0.25">
      <c r="E3091" t="s">
        <v>149</v>
      </c>
    </row>
    <row r="3092" spans="5:5" x14ac:dyDescent="0.25">
      <c r="E3092" t="s">
        <v>149</v>
      </c>
    </row>
    <row r="3093" spans="5:5" x14ac:dyDescent="0.25">
      <c r="E3093" t="s">
        <v>149</v>
      </c>
    </row>
    <row r="3094" spans="5:5" x14ac:dyDescent="0.25">
      <c r="E3094" t="s">
        <v>149</v>
      </c>
    </row>
    <row r="3095" spans="5:5" x14ac:dyDescent="0.25">
      <c r="E3095" t="s">
        <v>149</v>
      </c>
    </row>
    <row r="3096" spans="5:5" x14ac:dyDescent="0.25">
      <c r="E3096" t="s">
        <v>149</v>
      </c>
    </row>
    <row r="3097" spans="5:5" x14ac:dyDescent="0.25">
      <c r="E3097" t="s">
        <v>149</v>
      </c>
    </row>
    <row r="3098" spans="5:5" x14ac:dyDescent="0.25">
      <c r="E3098" t="s">
        <v>149</v>
      </c>
    </row>
    <row r="3099" spans="5:5" x14ac:dyDescent="0.25">
      <c r="E3099" t="s">
        <v>149</v>
      </c>
    </row>
    <row r="3100" spans="5:5" x14ac:dyDescent="0.25">
      <c r="E3100" t="s">
        <v>149</v>
      </c>
    </row>
    <row r="3101" spans="5:5" x14ac:dyDescent="0.25">
      <c r="E3101" t="s">
        <v>149</v>
      </c>
    </row>
    <row r="3102" spans="5:5" x14ac:dyDescent="0.25">
      <c r="E3102" t="s">
        <v>149</v>
      </c>
    </row>
    <row r="3103" spans="5:5" x14ac:dyDescent="0.25">
      <c r="E3103" t="s">
        <v>149</v>
      </c>
    </row>
    <row r="3104" spans="5:5" x14ac:dyDescent="0.25">
      <c r="E3104" t="s">
        <v>149</v>
      </c>
    </row>
    <row r="3105" spans="5:5" x14ac:dyDescent="0.25">
      <c r="E3105" t="s">
        <v>149</v>
      </c>
    </row>
    <row r="3106" spans="5:5" x14ac:dyDescent="0.25">
      <c r="E3106" t="s">
        <v>149</v>
      </c>
    </row>
    <row r="3107" spans="5:5" x14ac:dyDescent="0.25">
      <c r="E3107" t="s">
        <v>149</v>
      </c>
    </row>
    <row r="3108" spans="5:5" x14ac:dyDescent="0.25">
      <c r="E3108" t="s">
        <v>149</v>
      </c>
    </row>
    <row r="3109" spans="5:5" x14ac:dyDescent="0.25">
      <c r="E3109" t="s">
        <v>149</v>
      </c>
    </row>
    <row r="3110" spans="5:5" x14ac:dyDescent="0.25">
      <c r="E3110" t="s">
        <v>149</v>
      </c>
    </row>
    <row r="3111" spans="5:5" x14ac:dyDescent="0.25">
      <c r="E3111" t="s">
        <v>149</v>
      </c>
    </row>
    <row r="3112" spans="5:5" x14ac:dyDescent="0.25">
      <c r="E3112" t="s">
        <v>149</v>
      </c>
    </row>
    <row r="3113" spans="5:5" x14ac:dyDescent="0.25">
      <c r="E3113" t="s">
        <v>149</v>
      </c>
    </row>
    <row r="3114" spans="5:5" x14ac:dyDescent="0.25">
      <c r="E3114" t="s">
        <v>149</v>
      </c>
    </row>
    <row r="3115" spans="5:5" x14ac:dyDescent="0.25">
      <c r="E3115" t="s">
        <v>149</v>
      </c>
    </row>
    <row r="3116" spans="5:5" x14ac:dyDescent="0.25">
      <c r="E3116" t="s">
        <v>149</v>
      </c>
    </row>
    <row r="3117" spans="5:5" x14ac:dyDescent="0.25">
      <c r="E3117" t="s">
        <v>149</v>
      </c>
    </row>
    <row r="3118" spans="5:5" x14ac:dyDescent="0.25">
      <c r="E3118" t="s">
        <v>149</v>
      </c>
    </row>
    <row r="3119" spans="5:5" x14ac:dyDescent="0.25">
      <c r="E3119" t="s">
        <v>149</v>
      </c>
    </row>
    <row r="3120" spans="5:5" x14ac:dyDescent="0.25">
      <c r="E3120" t="s">
        <v>149</v>
      </c>
    </row>
    <row r="3121" spans="5:5" x14ac:dyDescent="0.25">
      <c r="E3121" t="s">
        <v>149</v>
      </c>
    </row>
    <row r="3122" spans="5:5" x14ac:dyDescent="0.25">
      <c r="E3122" t="s">
        <v>149</v>
      </c>
    </row>
    <row r="3123" spans="5:5" x14ac:dyDescent="0.25">
      <c r="E3123" t="s">
        <v>149</v>
      </c>
    </row>
    <row r="3124" spans="5:5" x14ac:dyDescent="0.25">
      <c r="E3124" t="s">
        <v>149</v>
      </c>
    </row>
    <row r="3125" spans="5:5" x14ac:dyDescent="0.25">
      <c r="E3125" t="s">
        <v>149</v>
      </c>
    </row>
    <row r="3126" spans="5:5" x14ac:dyDescent="0.25">
      <c r="E3126" t="s">
        <v>149</v>
      </c>
    </row>
    <row r="3127" spans="5:5" x14ac:dyDescent="0.25">
      <c r="E3127" t="s">
        <v>149</v>
      </c>
    </row>
    <row r="3128" spans="5:5" x14ac:dyDescent="0.25">
      <c r="E3128" t="s">
        <v>149</v>
      </c>
    </row>
    <row r="3129" spans="5:5" x14ac:dyDescent="0.25">
      <c r="E3129" t="s">
        <v>149</v>
      </c>
    </row>
    <row r="3130" spans="5:5" x14ac:dyDescent="0.25">
      <c r="E3130" t="s">
        <v>149</v>
      </c>
    </row>
    <row r="3131" spans="5:5" x14ac:dyDescent="0.25">
      <c r="E3131" t="s">
        <v>149</v>
      </c>
    </row>
    <row r="3132" spans="5:5" x14ac:dyDescent="0.25">
      <c r="E3132" t="s">
        <v>149</v>
      </c>
    </row>
    <row r="3133" spans="5:5" x14ac:dyDescent="0.25">
      <c r="E3133" t="s">
        <v>149</v>
      </c>
    </row>
    <row r="3134" spans="5:5" x14ac:dyDescent="0.25">
      <c r="E3134" t="s">
        <v>149</v>
      </c>
    </row>
    <row r="3135" spans="5:5" x14ac:dyDescent="0.25">
      <c r="E3135" t="s">
        <v>149</v>
      </c>
    </row>
    <row r="3136" spans="5:5" x14ac:dyDescent="0.25">
      <c r="E3136" t="s">
        <v>149</v>
      </c>
    </row>
    <row r="3137" spans="5:5" x14ac:dyDescent="0.25">
      <c r="E3137" t="s">
        <v>149</v>
      </c>
    </row>
    <row r="3138" spans="5:5" x14ac:dyDescent="0.25">
      <c r="E3138" t="s">
        <v>149</v>
      </c>
    </row>
    <row r="3139" spans="5:5" x14ac:dyDescent="0.25">
      <c r="E3139" t="s">
        <v>149</v>
      </c>
    </row>
    <row r="3140" spans="5:5" x14ac:dyDescent="0.25">
      <c r="E3140" t="s">
        <v>149</v>
      </c>
    </row>
    <row r="3141" spans="5:5" x14ac:dyDescent="0.25">
      <c r="E3141" t="s">
        <v>149</v>
      </c>
    </row>
    <row r="3142" spans="5:5" x14ac:dyDescent="0.25">
      <c r="E3142" t="s">
        <v>149</v>
      </c>
    </row>
    <row r="3143" spans="5:5" x14ac:dyDescent="0.25">
      <c r="E3143" t="s">
        <v>149</v>
      </c>
    </row>
    <row r="3144" spans="5:5" x14ac:dyDescent="0.25">
      <c r="E3144" t="s">
        <v>149</v>
      </c>
    </row>
    <row r="3145" spans="5:5" x14ac:dyDescent="0.25">
      <c r="E3145" t="s">
        <v>149</v>
      </c>
    </row>
    <row r="3146" spans="5:5" x14ac:dyDescent="0.25">
      <c r="E3146" t="s">
        <v>149</v>
      </c>
    </row>
    <row r="3147" spans="5:5" x14ac:dyDescent="0.25">
      <c r="E3147" t="s">
        <v>149</v>
      </c>
    </row>
    <row r="3148" spans="5:5" x14ac:dyDescent="0.25">
      <c r="E3148" t="s">
        <v>149</v>
      </c>
    </row>
    <row r="3149" spans="5:5" x14ac:dyDescent="0.25">
      <c r="E3149" t="s">
        <v>149</v>
      </c>
    </row>
    <row r="3150" spans="5:5" x14ac:dyDescent="0.25">
      <c r="E3150" t="s">
        <v>149</v>
      </c>
    </row>
    <row r="3151" spans="5:5" x14ac:dyDescent="0.25">
      <c r="E3151" t="s">
        <v>149</v>
      </c>
    </row>
    <row r="3152" spans="5:5" x14ac:dyDescent="0.25">
      <c r="E3152" t="s">
        <v>149</v>
      </c>
    </row>
    <row r="3153" spans="5:5" x14ac:dyDescent="0.25">
      <c r="E3153" t="s">
        <v>149</v>
      </c>
    </row>
    <row r="3154" spans="5:5" x14ac:dyDescent="0.25">
      <c r="E3154" t="s">
        <v>149</v>
      </c>
    </row>
    <row r="3155" spans="5:5" x14ac:dyDescent="0.25">
      <c r="E3155" t="s">
        <v>149</v>
      </c>
    </row>
    <row r="3156" spans="5:5" x14ac:dyDescent="0.25">
      <c r="E3156" t="s">
        <v>149</v>
      </c>
    </row>
    <row r="3157" spans="5:5" x14ac:dyDescent="0.25">
      <c r="E3157" t="s">
        <v>149</v>
      </c>
    </row>
    <row r="3158" spans="5:5" x14ac:dyDescent="0.25">
      <c r="E3158" t="s">
        <v>149</v>
      </c>
    </row>
    <row r="3159" spans="5:5" x14ac:dyDescent="0.25">
      <c r="E3159" t="s">
        <v>149</v>
      </c>
    </row>
    <row r="3160" spans="5:5" x14ac:dyDescent="0.25">
      <c r="E3160" t="s">
        <v>149</v>
      </c>
    </row>
    <row r="3161" spans="5:5" x14ac:dyDescent="0.25">
      <c r="E3161" t="s">
        <v>149</v>
      </c>
    </row>
    <row r="3162" spans="5:5" x14ac:dyDescent="0.25">
      <c r="E3162" t="s">
        <v>149</v>
      </c>
    </row>
    <row r="3163" spans="5:5" x14ac:dyDescent="0.25">
      <c r="E3163" t="s">
        <v>149</v>
      </c>
    </row>
    <row r="3164" spans="5:5" x14ac:dyDescent="0.25">
      <c r="E3164" t="s">
        <v>149</v>
      </c>
    </row>
    <row r="3165" spans="5:5" x14ac:dyDescent="0.25">
      <c r="E3165" t="s">
        <v>149</v>
      </c>
    </row>
    <row r="3166" spans="5:5" x14ac:dyDescent="0.25">
      <c r="E3166" t="s">
        <v>149</v>
      </c>
    </row>
    <row r="3167" spans="5:5" x14ac:dyDescent="0.25">
      <c r="E3167" t="s">
        <v>149</v>
      </c>
    </row>
    <row r="3168" spans="5:5" x14ac:dyDescent="0.25">
      <c r="E3168" t="s">
        <v>149</v>
      </c>
    </row>
    <row r="3169" spans="5:5" x14ac:dyDescent="0.25">
      <c r="E3169" t="s">
        <v>149</v>
      </c>
    </row>
    <row r="3170" spans="5:5" x14ac:dyDescent="0.25">
      <c r="E3170" t="s">
        <v>149</v>
      </c>
    </row>
    <row r="3171" spans="5:5" x14ac:dyDescent="0.25">
      <c r="E3171" t="s">
        <v>149</v>
      </c>
    </row>
    <row r="3172" spans="5:5" x14ac:dyDescent="0.25">
      <c r="E3172" t="s">
        <v>149</v>
      </c>
    </row>
    <row r="3173" spans="5:5" x14ac:dyDescent="0.25">
      <c r="E3173" t="s">
        <v>149</v>
      </c>
    </row>
    <row r="3174" spans="5:5" x14ac:dyDescent="0.25">
      <c r="E3174" t="s">
        <v>149</v>
      </c>
    </row>
    <row r="3175" spans="5:5" x14ac:dyDescent="0.25">
      <c r="E3175" t="s">
        <v>149</v>
      </c>
    </row>
    <row r="3176" spans="5:5" x14ac:dyDescent="0.25">
      <c r="E3176" t="s">
        <v>149</v>
      </c>
    </row>
    <row r="3177" spans="5:5" x14ac:dyDescent="0.25">
      <c r="E3177" t="s">
        <v>149</v>
      </c>
    </row>
    <row r="3178" spans="5:5" x14ac:dyDescent="0.25">
      <c r="E3178" t="s">
        <v>149</v>
      </c>
    </row>
    <row r="3179" spans="5:5" x14ac:dyDescent="0.25">
      <c r="E3179" t="s">
        <v>149</v>
      </c>
    </row>
    <row r="3180" spans="5:5" x14ac:dyDescent="0.25">
      <c r="E3180" t="s">
        <v>149</v>
      </c>
    </row>
    <row r="3181" spans="5:5" x14ac:dyDescent="0.25">
      <c r="E3181" t="s">
        <v>149</v>
      </c>
    </row>
    <row r="3182" spans="5:5" x14ac:dyDescent="0.25">
      <c r="E3182" t="s">
        <v>149</v>
      </c>
    </row>
    <row r="3183" spans="5:5" x14ac:dyDescent="0.25">
      <c r="E3183" t="s">
        <v>149</v>
      </c>
    </row>
    <row r="3184" spans="5:5" x14ac:dyDescent="0.25">
      <c r="E3184" t="s">
        <v>149</v>
      </c>
    </row>
    <row r="3185" spans="5:5" x14ac:dyDescent="0.25">
      <c r="E3185" t="s">
        <v>149</v>
      </c>
    </row>
    <row r="3186" spans="5:5" x14ac:dyDescent="0.25">
      <c r="E3186" t="s">
        <v>149</v>
      </c>
    </row>
    <row r="3187" spans="5:5" x14ac:dyDescent="0.25">
      <c r="E3187" t="s">
        <v>149</v>
      </c>
    </row>
    <row r="3188" spans="5:5" x14ac:dyDescent="0.25">
      <c r="E3188" t="s">
        <v>149</v>
      </c>
    </row>
    <row r="3189" spans="5:5" x14ac:dyDescent="0.25">
      <c r="E3189" t="s">
        <v>149</v>
      </c>
    </row>
    <row r="3190" spans="5:5" x14ac:dyDescent="0.25">
      <c r="E3190" t="s">
        <v>149</v>
      </c>
    </row>
    <row r="3191" spans="5:5" x14ac:dyDescent="0.25">
      <c r="E3191" t="s">
        <v>149</v>
      </c>
    </row>
    <row r="3192" spans="5:5" x14ac:dyDescent="0.25">
      <c r="E3192" t="s">
        <v>149</v>
      </c>
    </row>
    <row r="3193" spans="5:5" x14ac:dyDescent="0.25">
      <c r="E3193" t="s">
        <v>149</v>
      </c>
    </row>
    <row r="3194" spans="5:5" x14ac:dyDescent="0.25">
      <c r="E3194" t="s">
        <v>149</v>
      </c>
    </row>
    <row r="3195" spans="5:5" x14ac:dyDescent="0.25">
      <c r="E3195" t="s">
        <v>149</v>
      </c>
    </row>
    <row r="3196" spans="5:5" x14ac:dyDescent="0.25">
      <c r="E3196" t="s">
        <v>149</v>
      </c>
    </row>
    <row r="3197" spans="5:5" x14ac:dyDescent="0.25">
      <c r="E3197" t="s">
        <v>149</v>
      </c>
    </row>
    <row r="3198" spans="5:5" x14ac:dyDescent="0.25">
      <c r="E3198" t="s">
        <v>149</v>
      </c>
    </row>
    <row r="3199" spans="5:5" x14ac:dyDescent="0.25">
      <c r="E3199" t="s">
        <v>149</v>
      </c>
    </row>
    <row r="3200" spans="5:5" x14ac:dyDescent="0.25">
      <c r="E3200" t="s">
        <v>149</v>
      </c>
    </row>
    <row r="3201" spans="5:5" x14ac:dyDescent="0.25">
      <c r="E3201" t="s">
        <v>149</v>
      </c>
    </row>
    <row r="3202" spans="5:5" x14ac:dyDescent="0.25">
      <c r="E3202" t="s">
        <v>149</v>
      </c>
    </row>
    <row r="3203" spans="5:5" x14ac:dyDescent="0.25">
      <c r="E3203" t="s">
        <v>149</v>
      </c>
    </row>
    <row r="3204" spans="5:5" x14ac:dyDescent="0.25">
      <c r="E3204" t="s">
        <v>149</v>
      </c>
    </row>
    <row r="3205" spans="5:5" x14ac:dyDescent="0.25">
      <c r="E3205" t="s">
        <v>149</v>
      </c>
    </row>
    <row r="3206" spans="5:5" x14ac:dyDescent="0.25">
      <c r="E3206" t="s">
        <v>149</v>
      </c>
    </row>
    <row r="3207" spans="5:5" x14ac:dyDescent="0.25">
      <c r="E3207" t="s">
        <v>149</v>
      </c>
    </row>
    <row r="3208" spans="5:5" x14ac:dyDescent="0.25">
      <c r="E3208" t="s">
        <v>149</v>
      </c>
    </row>
    <row r="3209" spans="5:5" x14ac:dyDescent="0.25">
      <c r="E3209" t="s">
        <v>149</v>
      </c>
    </row>
    <row r="3210" spans="5:5" x14ac:dyDescent="0.25">
      <c r="E3210" t="s">
        <v>149</v>
      </c>
    </row>
    <row r="3211" spans="5:5" x14ac:dyDescent="0.25">
      <c r="E3211" t="s">
        <v>149</v>
      </c>
    </row>
    <row r="3212" spans="5:5" x14ac:dyDescent="0.25">
      <c r="E3212" t="s">
        <v>149</v>
      </c>
    </row>
    <row r="3213" spans="5:5" x14ac:dyDescent="0.25">
      <c r="E3213" t="s">
        <v>149</v>
      </c>
    </row>
    <row r="3214" spans="5:5" x14ac:dyDescent="0.25">
      <c r="E3214" t="s">
        <v>149</v>
      </c>
    </row>
    <row r="3215" spans="5:5" x14ac:dyDescent="0.25">
      <c r="E3215" t="s">
        <v>149</v>
      </c>
    </row>
    <row r="3216" spans="5:5" x14ac:dyDescent="0.25">
      <c r="E3216" t="s">
        <v>149</v>
      </c>
    </row>
    <row r="3217" spans="5:5" x14ac:dyDescent="0.25">
      <c r="E3217" t="s">
        <v>149</v>
      </c>
    </row>
    <row r="3218" spans="5:5" x14ac:dyDescent="0.25">
      <c r="E3218" t="s">
        <v>149</v>
      </c>
    </row>
    <row r="3219" spans="5:5" x14ac:dyDescent="0.25">
      <c r="E3219" t="s">
        <v>149</v>
      </c>
    </row>
    <row r="3220" spans="5:5" x14ac:dyDescent="0.25">
      <c r="E3220" t="s">
        <v>149</v>
      </c>
    </row>
    <row r="3221" spans="5:5" x14ac:dyDescent="0.25">
      <c r="E3221" t="s">
        <v>149</v>
      </c>
    </row>
    <row r="3222" spans="5:5" x14ac:dyDescent="0.25">
      <c r="E3222" t="s">
        <v>149</v>
      </c>
    </row>
    <row r="3223" spans="5:5" x14ac:dyDescent="0.25">
      <c r="E3223" t="s">
        <v>149</v>
      </c>
    </row>
    <row r="3224" spans="5:5" x14ac:dyDescent="0.25">
      <c r="E3224" t="s">
        <v>149</v>
      </c>
    </row>
    <row r="3225" spans="5:5" x14ac:dyDescent="0.25">
      <c r="E3225" t="s">
        <v>149</v>
      </c>
    </row>
    <row r="3226" spans="5:5" x14ac:dyDescent="0.25">
      <c r="E3226" t="s">
        <v>149</v>
      </c>
    </row>
    <row r="3227" spans="5:5" x14ac:dyDescent="0.25">
      <c r="E3227" t="s">
        <v>149</v>
      </c>
    </row>
    <row r="3228" spans="5:5" x14ac:dyDescent="0.25">
      <c r="E3228" t="s">
        <v>149</v>
      </c>
    </row>
    <row r="3229" spans="5:5" x14ac:dyDescent="0.25">
      <c r="E3229" t="s">
        <v>149</v>
      </c>
    </row>
    <row r="3230" spans="5:5" x14ac:dyDescent="0.25">
      <c r="E3230" t="s">
        <v>149</v>
      </c>
    </row>
    <row r="3231" spans="5:5" x14ac:dyDescent="0.25">
      <c r="E3231" t="s">
        <v>149</v>
      </c>
    </row>
    <row r="3232" spans="5:5" x14ac:dyDescent="0.25">
      <c r="E3232" t="s">
        <v>149</v>
      </c>
    </row>
    <row r="3233" spans="5:5" x14ac:dyDescent="0.25">
      <c r="E3233" t="s">
        <v>149</v>
      </c>
    </row>
    <row r="3234" spans="5:5" x14ac:dyDescent="0.25">
      <c r="E3234" t="s">
        <v>149</v>
      </c>
    </row>
    <row r="3235" spans="5:5" x14ac:dyDescent="0.25">
      <c r="E3235" t="s">
        <v>149</v>
      </c>
    </row>
    <row r="3236" spans="5:5" x14ac:dyDescent="0.25">
      <c r="E3236" t="s">
        <v>149</v>
      </c>
    </row>
    <row r="3237" spans="5:5" x14ac:dyDescent="0.25">
      <c r="E3237" t="s">
        <v>149</v>
      </c>
    </row>
    <row r="3238" spans="5:5" x14ac:dyDescent="0.25">
      <c r="E3238" t="s">
        <v>149</v>
      </c>
    </row>
    <row r="3239" spans="5:5" x14ac:dyDescent="0.25">
      <c r="E3239" t="s">
        <v>149</v>
      </c>
    </row>
    <row r="3240" spans="5:5" x14ac:dyDescent="0.25">
      <c r="E3240" t="s">
        <v>149</v>
      </c>
    </row>
    <row r="3241" spans="5:5" x14ac:dyDescent="0.25">
      <c r="E3241" t="s">
        <v>149</v>
      </c>
    </row>
    <row r="3242" spans="5:5" x14ac:dyDescent="0.25">
      <c r="E3242" t="s">
        <v>149</v>
      </c>
    </row>
    <row r="3243" spans="5:5" x14ac:dyDescent="0.25">
      <c r="E3243" t="s">
        <v>149</v>
      </c>
    </row>
    <row r="3244" spans="5:5" x14ac:dyDescent="0.25">
      <c r="E3244" t="s">
        <v>149</v>
      </c>
    </row>
    <row r="3245" spans="5:5" x14ac:dyDescent="0.25">
      <c r="E3245" t="s">
        <v>149</v>
      </c>
    </row>
    <row r="3246" spans="5:5" x14ac:dyDescent="0.25">
      <c r="E3246" t="s">
        <v>149</v>
      </c>
    </row>
    <row r="3247" spans="5:5" x14ac:dyDescent="0.25">
      <c r="E3247" t="s">
        <v>149</v>
      </c>
    </row>
    <row r="3248" spans="5:5" x14ac:dyDescent="0.25">
      <c r="E3248" t="s">
        <v>149</v>
      </c>
    </row>
    <row r="3249" spans="5:5" x14ac:dyDescent="0.25">
      <c r="E3249" t="s">
        <v>149</v>
      </c>
    </row>
    <row r="3250" spans="5:5" x14ac:dyDescent="0.25">
      <c r="E3250" t="s">
        <v>149</v>
      </c>
    </row>
    <row r="3251" spans="5:5" x14ac:dyDescent="0.25">
      <c r="E3251" t="s">
        <v>149</v>
      </c>
    </row>
    <row r="3252" spans="5:5" x14ac:dyDescent="0.25">
      <c r="E3252" t="s">
        <v>149</v>
      </c>
    </row>
    <row r="3253" spans="5:5" x14ac:dyDescent="0.25">
      <c r="E3253" t="s">
        <v>149</v>
      </c>
    </row>
    <row r="3254" spans="5:5" x14ac:dyDescent="0.25">
      <c r="E3254" t="s">
        <v>149</v>
      </c>
    </row>
    <row r="3255" spans="5:5" x14ac:dyDescent="0.25">
      <c r="E3255" t="s">
        <v>149</v>
      </c>
    </row>
    <row r="3256" spans="5:5" x14ac:dyDescent="0.25">
      <c r="E3256" t="s">
        <v>149</v>
      </c>
    </row>
    <row r="3257" spans="5:5" x14ac:dyDescent="0.25">
      <c r="E3257" t="s">
        <v>149</v>
      </c>
    </row>
    <row r="3258" spans="5:5" x14ac:dyDescent="0.25">
      <c r="E3258" t="s">
        <v>149</v>
      </c>
    </row>
    <row r="3259" spans="5:5" x14ac:dyDescent="0.25">
      <c r="E3259" t="s">
        <v>149</v>
      </c>
    </row>
    <row r="3260" spans="5:5" x14ac:dyDescent="0.25">
      <c r="E3260" t="s">
        <v>149</v>
      </c>
    </row>
    <row r="3261" spans="5:5" x14ac:dyDescent="0.25">
      <c r="E3261" t="s">
        <v>149</v>
      </c>
    </row>
    <row r="3262" spans="5:5" x14ac:dyDescent="0.25">
      <c r="E3262" t="s">
        <v>149</v>
      </c>
    </row>
    <row r="3263" spans="5:5" x14ac:dyDescent="0.25">
      <c r="E3263" t="s">
        <v>149</v>
      </c>
    </row>
    <row r="3264" spans="5:5" x14ac:dyDescent="0.25">
      <c r="E3264" t="s">
        <v>149</v>
      </c>
    </row>
    <row r="3265" spans="5:5" x14ac:dyDescent="0.25">
      <c r="E3265" t="s">
        <v>149</v>
      </c>
    </row>
    <row r="3266" spans="5:5" x14ac:dyDescent="0.25">
      <c r="E3266" t="s">
        <v>149</v>
      </c>
    </row>
    <row r="3267" spans="5:5" x14ac:dyDescent="0.25">
      <c r="E3267" t="s">
        <v>149</v>
      </c>
    </row>
    <row r="3268" spans="5:5" x14ac:dyDescent="0.25">
      <c r="E3268" t="s">
        <v>149</v>
      </c>
    </row>
    <row r="3269" spans="5:5" x14ac:dyDescent="0.25">
      <c r="E3269" t="s">
        <v>149</v>
      </c>
    </row>
    <row r="3270" spans="5:5" x14ac:dyDescent="0.25">
      <c r="E3270" t="s">
        <v>149</v>
      </c>
    </row>
    <row r="3271" spans="5:5" x14ac:dyDescent="0.25">
      <c r="E3271" t="s">
        <v>149</v>
      </c>
    </row>
    <row r="3272" spans="5:5" x14ac:dyDescent="0.25">
      <c r="E3272" t="s">
        <v>149</v>
      </c>
    </row>
    <row r="3273" spans="5:5" x14ac:dyDescent="0.25">
      <c r="E3273" t="s">
        <v>149</v>
      </c>
    </row>
    <row r="3274" spans="5:5" x14ac:dyDescent="0.25">
      <c r="E3274" t="s">
        <v>149</v>
      </c>
    </row>
    <row r="3275" spans="5:5" x14ac:dyDescent="0.25">
      <c r="E3275" t="s">
        <v>149</v>
      </c>
    </row>
    <row r="3276" spans="5:5" x14ac:dyDescent="0.25">
      <c r="E3276" t="s">
        <v>149</v>
      </c>
    </row>
    <row r="3277" spans="5:5" x14ac:dyDescent="0.25">
      <c r="E3277" t="s">
        <v>149</v>
      </c>
    </row>
    <row r="3278" spans="5:5" x14ac:dyDescent="0.25">
      <c r="E3278" t="s">
        <v>149</v>
      </c>
    </row>
    <row r="3279" spans="5:5" x14ac:dyDescent="0.25">
      <c r="E3279" t="s">
        <v>149</v>
      </c>
    </row>
    <row r="3280" spans="5:5" x14ac:dyDescent="0.25">
      <c r="E3280" t="s">
        <v>149</v>
      </c>
    </row>
    <row r="3281" spans="5:5" x14ac:dyDescent="0.25">
      <c r="E3281" t="s">
        <v>149</v>
      </c>
    </row>
    <row r="3282" spans="5:5" x14ac:dyDescent="0.25">
      <c r="E3282" t="s">
        <v>149</v>
      </c>
    </row>
    <row r="3283" spans="5:5" x14ac:dyDescent="0.25">
      <c r="E3283" t="s">
        <v>149</v>
      </c>
    </row>
    <row r="3284" spans="5:5" x14ac:dyDescent="0.25">
      <c r="E3284" t="s">
        <v>149</v>
      </c>
    </row>
    <row r="3285" spans="5:5" x14ac:dyDescent="0.25">
      <c r="E3285" t="s">
        <v>149</v>
      </c>
    </row>
    <row r="3286" spans="5:5" x14ac:dyDescent="0.25">
      <c r="E3286" t="s">
        <v>149</v>
      </c>
    </row>
    <row r="3287" spans="5:5" x14ac:dyDescent="0.25">
      <c r="E3287" t="s">
        <v>149</v>
      </c>
    </row>
    <row r="3288" spans="5:5" x14ac:dyDescent="0.25">
      <c r="E3288" t="s">
        <v>149</v>
      </c>
    </row>
    <row r="3289" spans="5:5" x14ac:dyDescent="0.25">
      <c r="E3289" t="s">
        <v>149</v>
      </c>
    </row>
    <row r="3290" spans="5:5" x14ac:dyDescent="0.25">
      <c r="E3290" t="s">
        <v>149</v>
      </c>
    </row>
    <row r="3291" spans="5:5" x14ac:dyDescent="0.25">
      <c r="E3291" t="s">
        <v>149</v>
      </c>
    </row>
    <row r="3292" spans="5:5" x14ac:dyDescent="0.25">
      <c r="E3292" t="s">
        <v>149</v>
      </c>
    </row>
    <row r="3293" spans="5:5" x14ac:dyDescent="0.25">
      <c r="E3293" t="s">
        <v>149</v>
      </c>
    </row>
    <row r="3294" spans="5:5" x14ac:dyDescent="0.25">
      <c r="E3294" t="s">
        <v>149</v>
      </c>
    </row>
    <row r="3295" spans="5:5" x14ac:dyDescent="0.25">
      <c r="E3295" t="s">
        <v>149</v>
      </c>
    </row>
    <row r="3296" spans="5:5" x14ac:dyDescent="0.25">
      <c r="E3296" t="s">
        <v>149</v>
      </c>
    </row>
    <row r="3297" spans="5:5" x14ac:dyDescent="0.25">
      <c r="E3297" t="s">
        <v>149</v>
      </c>
    </row>
    <row r="3298" spans="5:5" x14ac:dyDescent="0.25">
      <c r="E3298" t="s">
        <v>149</v>
      </c>
    </row>
    <row r="3299" spans="5:5" x14ac:dyDescent="0.25">
      <c r="E3299" t="s">
        <v>149</v>
      </c>
    </row>
    <row r="3300" spans="5:5" x14ac:dyDescent="0.25">
      <c r="E3300" t="s">
        <v>149</v>
      </c>
    </row>
    <row r="3301" spans="5:5" x14ac:dyDescent="0.25">
      <c r="E3301" t="s">
        <v>149</v>
      </c>
    </row>
    <row r="3302" spans="5:5" x14ac:dyDescent="0.25">
      <c r="E3302" t="s">
        <v>149</v>
      </c>
    </row>
    <row r="3303" spans="5:5" x14ac:dyDescent="0.25">
      <c r="E3303" t="s">
        <v>149</v>
      </c>
    </row>
    <row r="3304" spans="5:5" x14ac:dyDescent="0.25">
      <c r="E3304" t="s">
        <v>149</v>
      </c>
    </row>
    <row r="3305" spans="5:5" x14ac:dyDescent="0.25">
      <c r="E3305" t="s">
        <v>149</v>
      </c>
    </row>
    <row r="3306" spans="5:5" x14ac:dyDescent="0.25">
      <c r="E3306" t="s">
        <v>149</v>
      </c>
    </row>
    <row r="3307" spans="5:5" x14ac:dyDescent="0.25">
      <c r="E3307" t="s">
        <v>149</v>
      </c>
    </row>
    <row r="3308" spans="5:5" x14ac:dyDescent="0.25">
      <c r="E3308" t="s">
        <v>149</v>
      </c>
    </row>
    <row r="3309" spans="5:5" x14ac:dyDescent="0.25">
      <c r="E3309" t="s">
        <v>149</v>
      </c>
    </row>
    <row r="3310" spans="5:5" x14ac:dyDescent="0.25">
      <c r="E3310" t="s">
        <v>149</v>
      </c>
    </row>
    <row r="3311" spans="5:5" x14ac:dyDescent="0.25">
      <c r="E3311" t="s">
        <v>149</v>
      </c>
    </row>
    <row r="3312" spans="5:5" x14ac:dyDescent="0.25">
      <c r="E3312" t="s">
        <v>149</v>
      </c>
    </row>
    <row r="3313" spans="5:5" x14ac:dyDescent="0.25">
      <c r="E3313" t="s">
        <v>149</v>
      </c>
    </row>
    <row r="3314" spans="5:5" x14ac:dyDescent="0.25">
      <c r="E3314" t="s">
        <v>149</v>
      </c>
    </row>
    <row r="3315" spans="5:5" x14ac:dyDescent="0.25">
      <c r="E3315" t="s">
        <v>149</v>
      </c>
    </row>
    <row r="3316" spans="5:5" x14ac:dyDescent="0.25">
      <c r="E3316" t="s">
        <v>149</v>
      </c>
    </row>
    <row r="3317" spans="5:5" x14ac:dyDescent="0.25">
      <c r="E3317" t="s">
        <v>149</v>
      </c>
    </row>
    <row r="3318" spans="5:5" x14ac:dyDescent="0.25">
      <c r="E3318" t="s">
        <v>149</v>
      </c>
    </row>
    <row r="3319" spans="5:5" x14ac:dyDescent="0.25">
      <c r="E3319" t="s">
        <v>149</v>
      </c>
    </row>
    <row r="3320" spans="5:5" x14ac:dyDescent="0.25">
      <c r="E3320" t="s">
        <v>149</v>
      </c>
    </row>
    <row r="3321" spans="5:5" x14ac:dyDescent="0.25">
      <c r="E3321" t="s">
        <v>149</v>
      </c>
    </row>
    <row r="3322" spans="5:5" x14ac:dyDescent="0.25">
      <c r="E3322" t="s">
        <v>149</v>
      </c>
    </row>
    <row r="3323" spans="5:5" x14ac:dyDescent="0.25">
      <c r="E3323" t="s">
        <v>149</v>
      </c>
    </row>
    <row r="3324" spans="5:5" x14ac:dyDescent="0.25">
      <c r="E3324" t="s">
        <v>149</v>
      </c>
    </row>
    <row r="3325" spans="5:5" x14ac:dyDescent="0.25">
      <c r="E3325" t="s">
        <v>149</v>
      </c>
    </row>
    <row r="3326" spans="5:5" x14ac:dyDescent="0.25">
      <c r="E3326" t="s">
        <v>149</v>
      </c>
    </row>
    <row r="3327" spans="5:5" x14ac:dyDescent="0.25">
      <c r="E3327" t="s">
        <v>149</v>
      </c>
    </row>
    <row r="3328" spans="5:5" x14ac:dyDescent="0.25">
      <c r="E3328" t="s">
        <v>149</v>
      </c>
    </row>
    <row r="3329" spans="5:5" x14ac:dyDescent="0.25">
      <c r="E3329" t="s">
        <v>149</v>
      </c>
    </row>
    <row r="3330" spans="5:5" x14ac:dyDescent="0.25">
      <c r="E3330" t="s">
        <v>149</v>
      </c>
    </row>
    <row r="3331" spans="5:5" x14ac:dyDescent="0.25">
      <c r="E3331" t="s">
        <v>149</v>
      </c>
    </row>
    <row r="3332" spans="5:5" x14ac:dyDescent="0.25">
      <c r="E3332" t="s">
        <v>149</v>
      </c>
    </row>
    <row r="3333" spans="5:5" x14ac:dyDescent="0.25">
      <c r="E3333" t="s">
        <v>149</v>
      </c>
    </row>
    <row r="3334" spans="5:5" x14ac:dyDescent="0.25">
      <c r="E3334" t="s">
        <v>149</v>
      </c>
    </row>
    <row r="3335" spans="5:5" x14ac:dyDescent="0.25">
      <c r="E3335" t="s">
        <v>149</v>
      </c>
    </row>
    <row r="3336" spans="5:5" x14ac:dyDescent="0.25">
      <c r="E3336" t="s">
        <v>149</v>
      </c>
    </row>
    <row r="3337" spans="5:5" x14ac:dyDescent="0.25">
      <c r="E3337" t="s">
        <v>149</v>
      </c>
    </row>
    <row r="3338" spans="5:5" x14ac:dyDescent="0.25">
      <c r="E3338" t="s">
        <v>149</v>
      </c>
    </row>
    <row r="3339" spans="5:5" x14ac:dyDescent="0.25">
      <c r="E3339" t="s">
        <v>149</v>
      </c>
    </row>
    <row r="3340" spans="5:5" x14ac:dyDescent="0.25">
      <c r="E3340" t="s">
        <v>149</v>
      </c>
    </row>
    <row r="3341" spans="5:5" x14ac:dyDescent="0.25">
      <c r="E3341" t="s">
        <v>149</v>
      </c>
    </row>
    <row r="3342" spans="5:5" x14ac:dyDescent="0.25">
      <c r="E3342" t="s">
        <v>149</v>
      </c>
    </row>
    <row r="3343" spans="5:5" x14ac:dyDescent="0.25">
      <c r="E3343" t="s">
        <v>149</v>
      </c>
    </row>
    <row r="3344" spans="5:5" x14ac:dyDescent="0.25">
      <c r="E3344" t="s">
        <v>149</v>
      </c>
    </row>
    <row r="3345" spans="5:5" x14ac:dyDescent="0.25">
      <c r="E3345" t="s">
        <v>149</v>
      </c>
    </row>
    <row r="3346" spans="5:5" x14ac:dyDescent="0.25">
      <c r="E3346" t="s">
        <v>149</v>
      </c>
    </row>
    <row r="3347" spans="5:5" x14ac:dyDescent="0.25">
      <c r="E3347" t="s">
        <v>149</v>
      </c>
    </row>
    <row r="3348" spans="5:5" x14ac:dyDescent="0.25">
      <c r="E3348" t="s">
        <v>149</v>
      </c>
    </row>
    <row r="3349" spans="5:5" x14ac:dyDescent="0.25">
      <c r="E3349" t="s">
        <v>149</v>
      </c>
    </row>
    <row r="3350" spans="5:5" x14ac:dyDescent="0.25">
      <c r="E3350" t="s">
        <v>149</v>
      </c>
    </row>
    <row r="3351" spans="5:5" x14ac:dyDescent="0.25">
      <c r="E3351" t="s">
        <v>149</v>
      </c>
    </row>
    <row r="3352" spans="5:5" x14ac:dyDescent="0.25">
      <c r="E3352" t="s">
        <v>149</v>
      </c>
    </row>
    <row r="3353" spans="5:5" x14ac:dyDescent="0.25">
      <c r="E3353" t="s">
        <v>149</v>
      </c>
    </row>
    <row r="3354" spans="5:5" x14ac:dyDescent="0.25">
      <c r="E3354" t="s">
        <v>149</v>
      </c>
    </row>
    <row r="3355" spans="5:5" x14ac:dyDescent="0.25">
      <c r="E3355" t="s">
        <v>149</v>
      </c>
    </row>
    <row r="3356" spans="5:5" x14ac:dyDescent="0.25">
      <c r="E3356" t="s">
        <v>149</v>
      </c>
    </row>
    <row r="3357" spans="5:5" x14ac:dyDescent="0.25">
      <c r="E3357" t="s">
        <v>149</v>
      </c>
    </row>
    <row r="3358" spans="5:5" x14ac:dyDescent="0.25">
      <c r="E3358" t="s">
        <v>149</v>
      </c>
    </row>
    <row r="3359" spans="5:5" x14ac:dyDescent="0.25">
      <c r="E3359" t="s">
        <v>149</v>
      </c>
    </row>
    <row r="3360" spans="5:5" x14ac:dyDescent="0.25">
      <c r="E3360" t="s">
        <v>149</v>
      </c>
    </row>
    <row r="3361" spans="5:5" x14ac:dyDescent="0.25">
      <c r="E3361" t="s">
        <v>149</v>
      </c>
    </row>
    <row r="3362" spans="5:5" x14ac:dyDescent="0.25">
      <c r="E3362" t="s">
        <v>149</v>
      </c>
    </row>
    <row r="3363" spans="5:5" x14ac:dyDescent="0.25">
      <c r="E3363" t="s">
        <v>149</v>
      </c>
    </row>
    <row r="3364" spans="5:5" x14ac:dyDescent="0.25">
      <c r="E3364" t="s">
        <v>149</v>
      </c>
    </row>
    <row r="3365" spans="5:5" x14ac:dyDescent="0.25">
      <c r="E3365" t="s">
        <v>149</v>
      </c>
    </row>
    <row r="3366" spans="5:5" x14ac:dyDescent="0.25">
      <c r="E3366" t="s">
        <v>149</v>
      </c>
    </row>
    <row r="3367" spans="5:5" x14ac:dyDescent="0.25">
      <c r="E3367" t="s">
        <v>149</v>
      </c>
    </row>
    <row r="3368" spans="5:5" x14ac:dyDescent="0.25">
      <c r="E3368" t="s">
        <v>149</v>
      </c>
    </row>
    <row r="3369" spans="5:5" x14ac:dyDescent="0.25">
      <c r="E3369" t="s">
        <v>149</v>
      </c>
    </row>
    <row r="3370" spans="5:5" x14ac:dyDescent="0.25">
      <c r="E3370" t="s">
        <v>149</v>
      </c>
    </row>
    <row r="3371" spans="5:5" x14ac:dyDescent="0.25">
      <c r="E3371" t="s">
        <v>149</v>
      </c>
    </row>
    <row r="3372" spans="5:5" x14ac:dyDescent="0.25">
      <c r="E3372" t="s">
        <v>149</v>
      </c>
    </row>
    <row r="3373" spans="5:5" x14ac:dyDescent="0.25">
      <c r="E3373" t="s">
        <v>149</v>
      </c>
    </row>
    <row r="3374" spans="5:5" x14ac:dyDescent="0.25">
      <c r="E3374" t="s">
        <v>149</v>
      </c>
    </row>
    <row r="3375" spans="5:5" x14ac:dyDescent="0.25">
      <c r="E3375" t="s">
        <v>149</v>
      </c>
    </row>
    <row r="3376" spans="5:5" x14ac:dyDescent="0.25">
      <c r="E3376" t="s">
        <v>149</v>
      </c>
    </row>
    <row r="3377" spans="5:5" x14ac:dyDescent="0.25">
      <c r="E3377" t="s">
        <v>149</v>
      </c>
    </row>
    <row r="3378" spans="5:5" x14ac:dyDescent="0.25">
      <c r="E3378" t="s">
        <v>149</v>
      </c>
    </row>
    <row r="3379" spans="5:5" x14ac:dyDescent="0.25">
      <c r="E3379" t="s">
        <v>149</v>
      </c>
    </row>
    <row r="3380" spans="5:5" x14ac:dyDescent="0.25">
      <c r="E3380" t="s">
        <v>149</v>
      </c>
    </row>
    <row r="3381" spans="5:5" x14ac:dyDescent="0.25">
      <c r="E3381" t="s">
        <v>149</v>
      </c>
    </row>
    <row r="3382" spans="5:5" x14ac:dyDescent="0.25">
      <c r="E3382" t="s">
        <v>149</v>
      </c>
    </row>
    <row r="3383" spans="5:5" x14ac:dyDescent="0.25">
      <c r="E3383" t="s">
        <v>149</v>
      </c>
    </row>
    <row r="3384" spans="5:5" x14ac:dyDescent="0.25">
      <c r="E3384" t="s">
        <v>149</v>
      </c>
    </row>
    <row r="3385" spans="5:5" x14ac:dyDescent="0.25">
      <c r="E3385" t="s">
        <v>149</v>
      </c>
    </row>
    <row r="3386" spans="5:5" x14ac:dyDescent="0.25">
      <c r="E3386" t="s">
        <v>149</v>
      </c>
    </row>
    <row r="3387" spans="5:5" x14ac:dyDescent="0.25">
      <c r="E3387" t="s">
        <v>149</v>
      </c>
    </row>
    <row r="3388" spans="5:5" x14ac:dyDescent="0.25">
      <c r="E3388" t="s">
        <v>149</v>
      </c>
    </row>
    <row r="3389" spans="5:5" x14ac:dyDescent="0.25">
      <c r="E3389" t="s">
        <v>149</v>
      </c>
    </row>
    <row r="3390" spans="5:5" x14ac:dyDescent="0.25">
      <c r="E3390" t="s">
        <v>149</v>
      </c>
    </row>
    <row r="3391" spans="5:5" x14ac:dyDescent="0.25">
      <c r="E3391" t="s">
        <v>149</v>
      </c>
    </row>
    <row r="3392" spans="5:5" x14ac:dyDescent="0.25">
      <c r="E3392" t="s">
        <v>149</v>
      </c>
    </row>
    <row r="3393" spans="5:5" x14ac:dyDescent="0.25">
      <c r="E3393" t="s">
        <v>149</v>
      </c>
    </row>
    <row r="3394" spans="5:5" x14ac:dyDescent="0.25">
      <c r="E3394" t="s">
        <v>149</v>
      </c>
    </row>
    <row r="3395" spans="5:5" x14ac:dyDescent="0.25">
      <c r="E3395" t="s">
        <v>149</v>
      </c>
    </row>
    <row r="3396" spans="5:5" x14ac:dyDescent="0.25">
      <c r="E3396" t="s">
        <v>149</v>
      </c>
    </row>
    <row r="3397" spans="5:5" x14ac:dyDescent="0.25">
      <c r="E3397" t="s">
        <v>149</v>
      </c>
    </row>
    <row r="3398" spans="5:5" x14ac:dyDescent="0.25">
      <c r="E3398" t="s">
        <v>149</v>
      </c>
    </row>
    <row r="3399" spans="5:5" x14ac:dyDescent="0.25">
      <c r="E3399" t="s">
        <v>149</v>
      </c>
    </row>
    <row r="3400" spans="5:5" x14ac:dyDescent="0.25">
      <c r="E3400" t="s">
        <v>149</v>
      </c>
    </row>
    <row r="3401" spans="5:5" x14ac:dyDescent="0.25">
      <c r="E3401" t="s">
        <v>149</v>
      </c>
    </row>
    <row r="3402" spans="5:5" x14ac:dyDescent="0.25">
      <c r="E3402" t="s">
        <v>149</v>
      </c>
    </row>
    <row r="3403" spans="5:5" x14ac:dyDescent="0.25">
      <c r="E3403" t="s">
        <v>149</v>
      </c>
    </row>
    <row r="3404" spans="5:5" x14ac:dyDescent="0.25">
      <c r="E3404" t="s">
        <v>149</v>
      </c>
    </row>
    <row r="3405" spans="5:5" x14ac:dyDescent="0.25">
      <c r="E3405" t="s">
        <v>149</v>
      </c>
    </row>
    <row r="3406" spans="5:5" x14ac:dyDescent="0.25">
      <c r="E3406" t="s">
        <v>149</v>
      </c>
    </row>
    <row r="3407" spans="5:5" x14ac:dyDescent="0.25">
      <c r="E3407" t="s">
        <v>149</v>
      </c>
    </row>
    <row r="3408" spans="5:5" x14ac:dyDescent="0.25">
      <c r="E3408" t="s">
        <v>149</v>
      </c>
    </row>
    <row r="3409" spans="5:5" x14ac:dyDescent="0.25">
      <c r="E3409" t="s">
        <v>149</v>
      </c>
    </row>
    <row r="3410" spans="5:5" x14ac:dyDescent="0.25">
      <c r="E3410" t="s">
        <v>149</v>
      </c>
    </row>
    <row r="3411" spans="5:5" x14ac:dyDescent="0.25">
      <c r="E3411" t="s">
        <v>149</v>
      </c>
    </row>
    <row r="3412" spans="5:5" x14ac:dyDescent="0.25">
      <c r="E3412" t="s">
        <v>149</v>
      </c>
    </row>
    <row r="3413" spans="5:5" x14ac:dyDescent="0.25">
      <c r="E3413" t="s">
        <v>149</v>
      </c>
    </row>
    <row r="3414" spans="5:5" x14ac:dyDescent="0.25">
      <c r="E3414" t="s">
        <v>149</v>
      </c>
    </row>
    <row r="3415" spans="5:5" x14ac:dyDescent="0.25">
      <c r="E3415" t="s">
        <v>149</v>
      </c>
    </row>
    <row r="3416" spans="5:5" x14ac:dyDescent="0.25">
      <c r="E3416" t="s">
        <v>149</v>
      </c>
    </row>
    <row r="3417" spans="5:5" x14ac:dyDescent="0.25">
      <c r="E3417" t="s">
        <v>149</v>
      </c>
    </row>
    <row r="3418" spans="5:5" x14ac:dyDescent="0.25">
      <c r="E3418" t="s">
        <v>149</v>
      </c>
    </row>
    <row r="3419" spans="5:5" x14ac:dyDescent="0.25">
      <c r="E3419" t="s">
        <v>149</v>
      </c>
    </row>
    <row r="3420" spans="5:5" x14ac:dyDescent="0.25">
      <c r="E3420" t="s">
        <v>149</v>
      </c>
    </row>
    <row r="3421" spans="5:5" x14ac:dyDescent="0.25">
      <c r="E3421" t="s">
        <v>149</v>
      </c>
    </row>
    <row r="3422" spans="5:5" x14ac:dyDescent="0.25">
      <c r="E3422" t="s">
        <v>149</v>
      </c>
    </row>
    <row r="3423" spans="5:5" x14ac:dyDescent="0.25">
      <c r="E3423" t="s">
        <v>149</v>
      </c>
    </row>
    <row r="3424" spans="5:5" x14ac:dyDescent="0.25">
      <c r="E3424" t="s">
        <v>149</v>
      </c>
    </row>
    <row r="3425" spans="5:5" x14ac:dyDescent="0.25">
      <c r="E3425" t="s">
        <v>149</v>
      </c>
    </row>
    <row r="3426" spans="5:5" x14ac:dyDescent="0.25">
      <c r="E3426" t="s">
        <v>149</v>
      </c>
    </row>
    <row r="3427" spans="5:5" x14ac:dyDescent="0.25">
      <c r="E3427" t="s">
        <v>149</v>
      </c>
    </row>
    <row r="3428" spans="5:5" x14ac:dyDescent="0.25">
      <c r="E3428" t="s">
        <v>149</v>
      </c>
    </row>
    <row r="3429" spans="5:5" x14ac:dyDescent="0.25">
      <c r="E3429" t="s">
        <v>149</v>
      </c>
    </row>
    <row r="3430" spans="5:5" x14ac:dyDescent="0.25">
      <c r="E3430" t="s">
        <v>149</v>
      </c>
    </row>
    <row r="3431" spans="5:5" x14ac:dyDescent="0.25">
      <c r="E3431" t="s">
        <v>149</v>
      </c>
    </row>
    <row r="3432" spans="5:5" x14ac:dyDescent="0.25">
      <c r="E3432" t="s">
        <v>149</v>
      </c>
    </row>
    <row r="3433" spans="5:5" x14ac:dyDescent="0.25">
      <c r="E3433" t="s">
        <v>149</v>
      </c>
    </row>
    <row r="3434" spans="5:5" x14ac:dyDescent="0.25">
      <c r="E3434" t="s">
        <v>149</v>
      </c>
    </row>
    <row r="3435" spans="5:5" x14ac:dyDescent="0.25">
      <c r="E3435" t="s">
        <v>149</v>
      </c>
    </row>
    <row r="3436" spans="5:5" x14ac:dyDescent="0.25">
      <c r="E3436" t="s">
        <v>149</v>
      </c>
    </row>
    <row r="3437" spans="5:5" x14ac:dyDescent="0.25">
      <c r="E3437" t="s">
        <v>149</v>
      </c>
    </row>
    <row r="3438" spans="5:5" x14ac:dyDescent="0.25">
      <c r="E3438" t="s">
        <v>149</v>
      </c>
    </row>
    <row r="3439" spans="5:5" x14ac:dyDescent="0.25">
      <c r="E3439" t="s">
        <v>149</v>
      </c>
    </row>
    <row r="3440" spans="5:5" x14ac:dyDescent="0.25">
      <c r="E3440" t="s">
        <v>149</v>
      </c>
    </row>
    <row r="3441" spans="5:5" x14ac:dyDescent="0.25">
      <c r="E3441" t="s">
        <v>149</v>
      </c>
    </row>
    <row r="3442" spans="5:5" x14ac:dyDescent="0.25">
      <c r="E3442" t="s">
        <v>149</v>
      </c>
    </row>
    <row r="3443" spans="5:5" x14ac:dyDescent="0.25">
      <c r="E3443" t="s">
        <v>149</v>
      </c>
    </row>
    <row r="3444" spans="5:5" x14ac:dyDescent="0.25">
      <c r="E3444" t="s">
        <v>149</v>
      </c>
    </row>
    <row r="3445" spans="5:5" x14ac:dyDescent="0.25">
      <c r="E3445" t="s">
        <v>149</v>
      </c>
    </row>
    <row r="3446" spans="5:5" x14ac:dyDescent="0.25">
      <c r="E3446" t="s">
        <v>149</v>
      </c>
    </row>
    <row r="3447" spans="5:5" x14ac:dyDescent="0.25">
      <c r="E3447" t="s">
        <v>149</v>
      </c>
    </row>
    <row r="3448" spans="5:5" x14ac:dyDescent="0.25">
      <c r="E3448" t="s">
        <v>149</v>
      </c>
    </row>
    <row r="3449" spans="5:5" x14ac:dyDescent="0.25">
      <c r="E3449" t="s">
        <v>149</v>
      </c>
    </row>
    <row r="3450" spans="5:5" x14ac:dyDescent="0.25">
      <c r="E3450" t="s">
        <v>149</v>
      </c>
    </row>
    <row r="3451" spans="5:5" x14ac:dyDescent="0.25">
      <c r="E3451" t="s">
        <v>149</v>
      </c>
    </row>
    <row r="3452" spans="5:5" x14ac:dyDescent="0.25">
      <c r="E3452" t="s">
        <v>149</v>
      </c>
    </row>
    <row r="3453" spans="5:5" x14ac:dyDescent="0.25">
      <c r="E3453" t="s">
        <v>149</v>
      </c>
    </row>
    <row r="3454" spans="5:5" x14ac:dyDescent="0.25">
      <c r="E3454" t="s">
        <v>149</v>
      </c>
    </row>
    <row r="3455" spans="5:5" x14ac:dyDescent="0.25">
      <c r="E3455" t="s">
        <v>149</v>
      </c>
    </row>
    <row r="3456" spans="5:5" x14ac:dyDescent="0.25">
      <c r="E3456" t="s">
        <v>149</v>
      </c>
    </row>
    <row r="3457" spans="5:5" x14ac:dyDescent="0.25">
      <c r="E3457" t="s">
        <v>149</v>
      </c>
    </row>
    <row r="3458" spans="5:5" x14ac:dyDescent="0.25">
      <c r="E3458" t="s">
        <v>149</v>
      </c>
    </row>
    <row r="3459" spans="5:5" x14ac:dyDescent="0.25">
      <c r="E3459" t="s">
        <v>149</v>
      </c>
    </row>
    <row r="3460" spans="5:5" x14ac:dyDescent="0.25">
      <c r="E3460" t="s">
        <v>149</v>
      </c>
    </row>
    <row r="3461" spans="5:5" x14ac:dyDescent="0.25">
      <c r="E3461" t="s">
        <v>149</v>
      </c>
    </row>
    <row r="3462" spans="5:5" x14ac:dyDescent="0.25">
      <c r="E3462" t="s">
        <v>149</v>
      </c>
    </row>
    <row r="3463" spans="5:5" x14ac:dyDescent="0.25">
      <c r="E3463" t="s">
        <v>149</v>
      </c>
    </row>
    <row r="3464" spans="5:5" x14ac:dyDescent="0.25">
      <c r="E3464" t="s">
        <v>149</v>
      </c>
    </row>
    <row r="3465" spans="5:5" x14ac:dyDescent="0.25">
      <c r="E3465" t="s">
        <v>149</v>
      </c>
    </row>
    <row r="3466" spans="5:5" x14ac:dyDescent="0.25">
      <c r="E3466" t="s">
        <v>149</v>
      </c>
    </row>
    <row r="3467" spans="5:5" x14ac:dyDescent="0.25">
      <c r="E3467" t="s">
        <v>149</v>
      </c>
    </row>
    <row r="3468" spans="5:5" x14ac:dyDescent="0.25">
      <c r="E3468" t="s">
        <v>149</v>
      </c>
    </row>
    <row r="3469" spans="5:5" x14ac:dyDescent="0.25">
      <c r="E3469" t="s">
        <v>149</v>
      </c>
    </row>
    <row r="3470" spans="5:5" x14ac:dyDescent="0.25">
      <c r="E3470" t="s">
        <v>149</v>
      </c>
    </row>
    <row r="3471" spans="5:5" x14ac:dyDescent="0.25">
      <c r="E3471" t="s">
        <v>149</v>
      </c>
    </row>
    <row r="3472" spans="5:5" x14ac:dyDescent="0.25">
      <c r="E3472" t="s">
        <v>149</v>
      </c>
    </row>
    <row r="3473" spans="5:5" x14ac:dyDescent="0.25">
      <c r="E3473" t="s">
        <v>149</v>
      </c>
    </row>
    <row r="3474" spans="5:5" x14ac:dyDescent="0.25">
      <c r="E3474" t="s">
        <v>149</v>
      </c>
    </row>
    <row r="3475" spans="5:5" x14ac:dyDescent="0.25">
      <c r="E3475" t="s">
        <v>149</v>
      </c>
    </row>
    <row r="3476" spans="5:5" x14ac:dyDescent="0.25">
      <c r="E3476" t="s">
        <v>149</v>
      </c>
    </row>
    <row r="3477" spans="5:5" x14ac:dyDescent="0.25">
      <c r="E3477" t="s">
        <v>149</v>
      </c>
    </row>
    <row r="3478" spans="5:5" x14ac:dyDescent="0.25">
      <c r="E3478" t="s">
        <v>149</v>
      </c>
    </row>
    <row r="3479" spans="5:5" x14ac:dyDescent="0.25">
      <c r="E3479" t="s">
        <v>149</v>
      </c>
    </row>
    <row r="3480" spans="5:5" x14ac:dyDescent="0.25">
      <c r="E3480" t="s">
        <v>149</v>
      </c>
    </row>
    <row r="3481" spans="5:5" x14ac:dyDescent="0.25">
      <c r="E3481" t="s">
        <v>149</v>
      </c>
    </row>
    <row r="3482" spans="5:5" x14ac:dyDescent="0.25">
      <c r="E3482" t="s">
        <v>149</v>
      </c>
    </row>
    <row r="3483" spans="5:5" x14ac:dyDescent="0.25">
      <c r="E3483" t="s">
        <v>149</v>
      </c>
    </row>
    <row r="3484" spans="5:5" x14ac:dyDescent="0.25">
      <c r="E3484" t="s">
        <v>149</v>
      </c>
    </row>
    <row r="3485" spans="5:5" x14ac:dyDescent="0.25">
      <c r="E3485" t="s">
        <v>149</v>
      </c>
    </row>
    <row r="3486" spans="5:5" x14ac:dyDescent="0.25">
      <c r="E3486" t="s">
        <v>149</v>
      </c>
    </row>
    <row r="3487" spans="5:5" x14ac:dyDescent="0.25">
      <c r="E3487" t="s">
        <v>149</v>
      </c>
    </row>
    <row r="3488" spans="5:5" x14ac:dyDescent="0.25">
      <c r="E3488" t="s">
        <v>149</v>
      </c>
    </row>
    <row r="3489" spans="5:5" x14ac:dyDescent="0.25">
      <c r="E3489" t="s">
        <v>149</v>
      </c>
    </row>
    <row r="3490" spans="5:5" x14ac:dyDescent="0.25">
      <c r="E3490" t="s">
        <v>149</v>
      </c>
    </row>
    <row r="3491" spans="5:5" x14ac:dyDescent="0.25">
      <c r="E3491" t="s">
        <v>149</v>
      </c>
    </row>
    <row r="3492" spans="5:5" x14ac:dyDescent="0.25">
      <c r="E3492" t="s">
        <v>149</v>
      </c>
    </row>
    <row r="3493" spans="5:5" x14ac:dyDescent="0.25">
      <c r="E3493" t="s">
        <v>149</v>
      </c>
    </row>
    <row r="3494" spans="5:5" x14ac:dyDescent="0.25">
      <c r="E3494" t="s">
        <v>149</v>
      </c>
    </row>
    <row r="3495" spans="5:5" x14ac:dyDescent="0.25">
      <c r="E3495" t="s">
        <v>149</v>
      </c>
    </row>
    <row r="3496" spans="5:5" x14ac:dyDescent="0.25">
      <c r="E3496" t="s">
        <v>149</v>
      </c>
    </row>
    <row r="3497" spans="5:5" x14ac:dyDescent="0.25">
      <c r="E3497" t="s">
        <v>149</v>
      </c>
    </row>
    <row r="3498" spans="5:5" x14ac:dyDescent="0.25">
      <c r="E3498" t="s">
        <v>149</v>
      </c>
    </row>
    <row r="3499" spans="5:5" x14ac:dyDescent="0.25">
      <c r="E3499" t="s">
        <v>149</v>
      </c>
    </row>
    <row r="3500" spans="5:5" x14ac:dyDescent="0.25">
      <c r="E3500" t="s">
        <v>149</v>
      </c>
    </row>
    <row r="3501" spans="5:5" x14ac:dyDescent="0.25">
      <c r="E3501" t="s">
        <v>149</v>
      </c>
    </row>
    <row r="3502" spans="5:5" x14ac:dyDescent="0.25">
      <c r="E3502" t="s">
        <v>149</v>
      </c>
    </row>
    <row r="3503" spans="5:5" x14ac:dyDescent="0.25">
      <c r="E3503" t="s">
        <v>149</v>
      </c>
    </row>
    <row r="3504" spans="5:5" x14ac:dyDescent="0.25">
      <c r="E3504" t="s">
        <v>149</v>
      </c>
    </row>
    <row r="3505" spans="5:5" x14ac:dyDescent="0.25">
      <c r="E3505" t="s">
        <v>149</v>
      </c>
    </row>
    <row r="3506" spans="5:5" x14ac:dyDescent="0.25">
      <c r="E3506" t="s">
        <v>149</v>
      </c>
    </row>
    <row r="3507" spans="5:5" x14ac:dyDescent="0.25">
      <c r="E3507" t="s">
        <v>149</v>
      </c>
    </row>
    <row r="3508" spans="5:5" x14ac:dyDescent="0.25">
      <c r="E3508" t="s">
        <v>149</v>
      </c>
    </row>
    <row r="3509" spans="5:5" x14ac:dyDescent="0.25">
      <c r="E3509" t="s">
        <v>149</v>
      </c>
    </row>
    <row r="3510" spans="5:5" x14ac:dyDescent="0.25">
      <c r="E3510" t="s">
        <v>149</v>
      </c>
    </row>
    <row r="3511" spans="5:5" x14ac:dyDescent="0.25">
      <c r="E3511" t="s">
        <v>149</v>
      </c>
    </row>
    <row r="3512" spans="5:5" x14ac:dyDescent="0.25">
      <c r="E3512" t="s">
        <v>149</v>
      </c>
    </row>
    <row r="3513" spans="5:5" x14ac:dyDescent="0.25">
      <c r="E3513" t="s">
        <v>149</v>
      </c>
    </row>
    <row r="3514" spans="5:5" x14ac:dyDescent="0.25">
      <c r="E3514" t="s">
        <v>149</v>
      </c>
    </row>
    <row r="3515" spans="5:5" x14ac:dyDescent="0.25">
      <c r="E3515" t="s">
        <v>149</v>
      </c>
    </row>
    <row r="3516" spans="5:5" x14ac:dyDescent="0.25">
      <c r="E3516" t="s">
        <v>149</v>
      </c>
    </row>
    <row r="3517" spans="5:5" x14ac:dyDescent="0.25">
      <c r="E3517" t="s">
        <v>149</v>
      </c>
    </row>
    <row r="3518" spans="5:5" x14ac:dyDescent="0.25">
      <c r="E3518" t="s">
        <v>149</v>
      </c>
    </row>
    <row r="3519" spans="5:5" x14ac:dyDescent="0.25">
      <c r="E3519" t="s">
        <v>149</v>
      </c>
    </row>
    <row r="3520" spans="5:5" x14ac:dyDescent="0.25">
      <c r="E3520" t="s">
        <v>149</v>
      </c>
    </row>
    <row r="3521" spans="5:5" x14ac:dyDescent="0.25">
      <c r="E3521" t="s">
        <v>149</v>
      </c>
    </row>
    <row r="3522" spans="5:5" x14ac:dyDescent="0.25">
      <c r="E3522" t="s">
        <v>149</v>
      </c>
    </row>
    <row r="3523" spans="5:5" x14ac:dyDescent="0.25">
      <c r="E3523" t="s">
        <v>149</v>
      </c>
    </row>
    <row r="3524" spans="5:5" x14ac:dyDescent="0.25">
      <c r="E3524" t="s">
        <v>149</v>
      </c>
    </row>
    <row r="3525" spans="5:5" x14ac:dyDescent="0.25">
      <c r="E3525" t="s">
        <v>149</v>
      </c>
    </row>
    <row r="3526" spans="5:5" x14ac:dyDescent="0.25">
      <c r="E3526" t="s">
        <v>149</v>
      </c>
    </row>
    <row r="3527" spans="5:5" x14ac:dyDescent="0.25">
      <c r="E3527" t="s">
        <v>149</v>
      </c>
    </row>
    <row r="3528" spans="5:5" x14ac:dyDescent="0.25">
      <c r="E3528" t="s">
        <v>149</v>
      </c>
    </row>
    <row r="3529" spans="5:5" x14ac:dyDescent="0.25">
      <c r="E3529" t="s">
        <v>149</v>
      </c>
    </row>
    <row r="3530" spans="5:5" x14ac:dyDescent="0.25">
      <c r="E3530" t="s">
        <v>149</v>
      </c>
    </row>
    <row r="3531" spans="5:5" x14ac:dyDescent="0.25">
      <c r="E3531" t="s">
        <v>149</v>
      </c>
    </row>
    <row r="3532" spans="5:5" x14ac:dyDescent="0.25">
      <c r="E3532" t="s">
        <v>149</v>
      </c>
    </row>
    <row r="3533" spans="5:5" x14ac:dyDescent="0.25">
      <c r="E3533" t="s">
        <v>149</v>
      </c>
    </row>
    <row r="3534" spans="5:5" x14ac:dyDescent="0.25">
      <c r="E3534" t="s">
        <v>149</v>
      </c>
    </row>
    <row r="3535" spans="5:5" x14ac:dyDescent="0.25">
      <c r="E3535" t="s">
        <v>149</v>
      </c>
    </row>
    <row r="3536" spans="5:5" x14ac:dyDescent="0.25">
      <c r="E3536" t="s">
        <v>149</v>
      </c>
    </row>
    <row r="3537" spans="5:5" x14ac:dyDescent="0.25">
      <c r="E3537" t="s">
        <v>149</v>
      </c>
    </row>
    <row r="3538" spans="5:5" x14ac:dyDescent="0.25">
      <c r="E3538" t="s">
        <v>149</v>
      </c>
    </row>
    <row r="3539" spans="5:5" x14ac:dyDescent="0.25">
      <c r="E3539" t="s">
        <v>149</v>
      </c>
    </row>
    <row r="3540" spans="5:5" x14ac:dyDescent="0.25">
      <c r="E3540" t="s">
        <v>149</v>
      </c>
    </row>
    <row r="3541" spans="5:5" x14ac:dyDescent="0.25">
      <c r="E3541" t="s">
        <v>149</v>
      </c>
    </row>
    <row r="3542" spans="5:5" x14ac:dyDescent="0.25">
      <c r="E3542" t="s">
        <v>149</v>
      </c>
    </row>
    <row r="3543" spans="5:5" x14ac:dyDescent="0.25">
      <c r="E3543" t="s">
        <v>149</v>
      </c>
    </row>
    <row r="3544" spans="5:5" x14ac:dyDescent="0.25">
      <c r="E3544" t="s">
        <v>149</v>
      </c>
    </row>
    <row r="3545" spans="5:5" x14ac:dyDescent="0.25">
      <c r="E3545" t="s">
        <v>149</v>
      </c>
    </row>
    <row r="3546" spans="5:5" x14ac:dyDescent="0.25">
      <c r="E3546" t="s">
        <v>149</v>
      </c>
    </row>
    <row r="3547" spans="5:5" x14ac:dyDescent="0.25">
      <c r="E3547" t="s">
        <v>149</v>
      </c>
    </row>
    <row r="3548" spans="5:5" x14ac:dyDescent="0.25">
      <c r="E3548" t="s">
        <v>149</v>
      </c>
    </row>
    <row r="3549" spans="5:5" x14ac:dyDescent="0.25">
      <c r="E3549" t="s">
        <v>149</v>
      </c>
    </row>
    <row r="3550" spans="5:5" x14ac:dyDescent="0.25">
      <c r="E3550" t="s">
        <v>149</v>
      </c>
    </row>
    <row r="3551" spans="5:5" x14ac:dyDescent="0.25">
      <c r="E3551" t="s">
        <v>149</v>
      </c>
    </row>
    <row r="3552" spans="5:5" x14ac:dyDescent="0.25">
      <c r="E3552" t="s">
        <v>149</v>
      </c>
    </row>
    <row r="3553" spans="5:5" x14ac:dyDescent="0.25">
      <c r="E3553" t="s">
        <v>149</v>
      </c>
    </row>
    <row r="3554" spans="5:5" x14ac:dyDescent="0.25">
      <c r="E3554" t="s">
        <v>149</v>
      </c>
    </row>
    <row r="3555" spans="5:5" x14ac:dyDescent="0.25">
      <c r="E3555" t="s">
        <v>149</v>
      </c>
    </row>
    <row r="3556" spans="5:5" x14ac:dyDescent="0.25">
      <c r="E3556" t="s">
        <v>149</v>
      </c>
    </row>
    <row r="3557" spans="5:5" x14ac:dyDescent="0.25">
      <c r="E3557" t="s">
        <v>149</v>
      </c>
    </row>
    <row r="3558" spans="5:5" x14ac:dyDescent="0.25">
      <c r="E3558" t="s">
        <v>149</v>
      </c>
    </row>
    <row r="3559" spans="5:5" x14ac:dyDescent="0.25">
      <c r="E3559" t="s">
        <v>149</v>
      </c>
    </row>
    <row r="3560" spans="5:5" x14ac:dyDescent="0.25">
      <c r="E3560" t="s">
        <v>149</v>
      </c>
    </row>
    <row r="3561" spans="5:5" x14ac:dyDescent="0.25">
      <c r="E3561" t="s">
        <v>149</v>
      </c>
    </row>
    <row r="3562" spans="5:5" x14ac:dyDescent="0.25">
      <c r="E3562" t="s">
        <v>149</v>
      </c>
    </row>
    <row r="3563" spans="5:5" x14ac:dyDescent="0.25">
      <c r="E3563" t="s">
        <v>149</v>
      </c>
    </row>
    <row r="3564" spans="5:5" x14ac:dyDescent="0.25">
      <c r="E3564" t="s">
        <v>149</v>
      </c>
    </row>
    <row r="3565" spans="5:5" x14ac:dyDescent="0.25">
      <c r="E3565" t="s">
        <v>149</v>
      </c>
    </row>
    <row r="3566" spans="5:5" x14ac:dyDescent="0.25">
      <c r="E3566" t="s">
        <v>149</v>
      </c>
    </row>
    <row r="3567" spans="5:5" x14ac:dyDescent="0.25">
      <c r="E3567" t="s">
        <v>149</v>
      </c>
    </row>
    <row r="3568" spans="5:5" x14ac:dyDescent="0.25">
      <c r="E3568" t="s">
        <v>149</v>
      </c>
    </row>
    <row r="3569" spans="5:5" x14ac:dyDescent="0.25">
      <c r="E3569" t="s">
        <v>149</v>
      </c>
    </row>
    <row r="3570" spans="5:5" x14ac:dyDescent="0.25">
      <c r="E3570" t="s">
        <v>149</v>
      </c>
    </row>
    <row r="3571" spans="5:5" x14ac:dyDescent="0.25">
      <c r="E3571" t="s">
        <v>149</v>
      </c>
    </row>
    <row r="3572" spans="5:5" x14ac:dyDescent="0.25">
      <c r="E3572" t="s">
        <v>149</v>
      </c>
    </row>
    <row r="3573" spans="5:5" x14ac:dyDescent="0.25">
      <c r="E3573" t="s">
        <v>149</v>
      </c>
    </row>
    <row r="3574" spans="5:5" x14ac:dyDescent="0.25">
      <c r="E3574" t="s">
        <v>149</v>
      </c>
    </row>
    <row r="3575" spans="5:5" x14ac:dyDescent="0.25">
      <c r="E3575" t="s">
        <v>149</v>
      </c>
    </row>
    <row r="3576" spans="5:5" x14ac:dyDescent="0.25">
      <c r="E3576" t="s">
        <v>149</v>
      </c>
    </row>
    <row r="3577" spans="5:5" x14ac:dyDescent="0.25">
      <c r="E3577" t="s">
        <v>149</v>
      </c>
    </row>
    <row r="3578" spans="5:5" x14ac:dyDescent="0.25">
      <c r="E3578" t="s">
        <v>149</v>
      </c>
    </row>
    <row r="3579" spans="5:5" x14ac:dyDescent="0.25">
      <c r="E3579" t="s">
        <v>149</v>
      </c>
    </row>
    <row r="3580" spans="5:5" x14ac:dyDescent="0.25">
      <c r="E3580" t="s">
        <v>149</v>
      </c>
    </row>
    <row r="3581" spans="5:5" x14ac:dyDescent="0.25">
      <c r="E3581" t="s">
        <v>149</v>
      </c>
    </row>
    <row r="3582" spans="5:5" x14ac:dyDescent="0.25">
      <c r="E3582" t="s">
        <v>149</v>
      </c>
    </row>
    <row r="3583" spans="5:5" x14ac:dyDescent="0.25">
      <c r="E3583" t="s">
        <v>149</v>
      </c>
    </row>
    <row r="3584" spans="5:5" x14ac:dyDescent="0.25">
      <c r="E3584" t="s">
        <v>149</v>
      </c>
    </row>
    <row r="3585" spans="5:5" x14ac:dyDescent="0.25">
      <c r="E3585" t="s">
        <v>149</v>
      </c>
    </row>
    <row r="3586" spans="5:5" x14ac:dyDescent="0.25">
      <c r="E3586" t="s">
        <v>149</v>
      </c>
    </row>
    <row r="3587" spans="5:5" x14ac:dyDescent="0.25">
      <c r="E3587" t="s">
        <v>149</v>
      </c>
    </row>
    <row r="3588" spans="5:5" x14ac:dyDescent="0.25">
      <c r="E3588" t="s">
        <v>149</v>
      </c>
    </row>
    <row r="3589" spans="5:5" x14ac:dyDescent="0.25">
      <c r="E3589" t="s">
        <v>149</v>
      </c>
    </row>
    <row r="3590" spans="5:5" x14ac:dyDescent="0.25">
      <c r="E3590" t="s">
        <v>149</v>
      </c>
    </row>
    <row r="3591" spans="5:5" x14ac:dyDescent="0.25">
      <c r="E3591" t="s">
        <v>149</v>
      </c>
    </row>
    <row r="3592" spans="5:5" x14ac:dyDescent="0.25">
      <c r="E3592" t="s">
        <v>149</v>
      </c>
    </row>
    <row r="3593" spans="5:5" x14ac:dyDescent="0.25">
      <c r="E3593" t="s">
        <v>149</v>
      </c>
    </row>
    <row r="3594" spans="5:5" x14ac:dyDescent="0.25">
      <c r="E3594" t="s">
        <v>149</v>
      </c>
    </row>
    <row r="3595" spans="5:5" x14ac:dyDescent="0.25">
      <c r="E3595" t="s">
        <v>149</v>
      </c>
    </row>
    <row r="3596" spans="5:5" x14ac:dyDescent="0.25">
      <c r="E3596" t="s">
        <v>149</v>
      </c>
    </row>
    <row r="3597" spans="5:5" x14ac:dyDescent="0.25">
      <c r="E3597" t="s">
        <v>149</v>
      </c>
    </row>
    <row r="3598" spans="5:5" x14ac:dyDescent="0.25">
      <c r="E3598" t="s">
        <v>149</v>
      </c>
    </row>
    <row r="3599" spans="5:5" x14ac:dyDescent="0.25">
      <c r="E3599" t="s">
        <v>149</v>
      </c>
    </row>
    <row r="3600" spans="5:5" x14ac:dyDescent="0.25">
      <c r="E3600" t="s">
        <v>149</v>
      </c>
    </row>
    <row r="3601" spans="5:5" x14ac:dyDescent="0.25">
      <c r="E3601" t="s">
        <v>149</v>
      </c>
    </row>
    <row r="3602" spans="5:5" x14ac:dyDescent="0.25">
      <c r="E3602" t="s">
        <v>149</v>
      </c>
    </row>
    <row r="3603" spans="5:5" x14ac:dyDescent="0.25">
      <c r="E3603" t="s">
        <v>149</v>
      </c>
    </row>
    <row r="3604" spans="5:5" x14ac:dyDescent="0.25">
      <c r="E3604" t="s">
        <v>149</v>
      </c>
    </row>
    <row r="3605" spans="5:5" x14ac:dyDescent="0.25">
      <c r="E3605" t="s">
        <v>149</v>
      </c>
    </row>
    <row r="3606" spans="5:5" x14ac:dyDescent="0.25">
      <c r="E3606" t="s">
        <v>149</v>
      </c>
    </row>
    <row r="3607" spans="5:5" x14ac:dyDescent="0.25">
      <c r="E3607" t="s">
        <v>149</v>
      </c>
    </row>
    <row r="3608" spans="5:5" x14ac:dyDescent="0.25">
      <c r="E3608" t="s">
        <v>149</v>
      </c>
    </row>
    <row r="3609" spans="5:5" x14ac:dyDescent="0.25">
      <c r="E3609" t="s">
        <v>149</v>
      </c>
    </row>
    <row r="3610" spans="5:5" x14ac:dyDescent="0.25">
      <c r="E3610" t="s">
        <v>149</v>
      </c>
    </row>
    <row r="3611" spans="5:5" x14ac:dyDescent="0.25">
      <c r="E3611" t="s">
        <v>149</v>
      </c>
    </row>
    <row r="3612" spans="5:5" x14ac:dyDescent="0.25">
      <c r="E3612" t="s">
        <v>149</v>
      </c>
    </row>
    <row r="3613" spans="5:5" x14ac:dyDescent="0.25">
      <c r="E3613" t="s">
        <v>149</v>
      </c>
    </row>
    <row r="3614" spans="5:5" x14ac:dyDescent="0.25">
      <c r="E3614" t="s">
        <v>149</v>
      </c>
    </row>
    <row r="3615" spans="5:5" x14ac:dyDescent="0.25">
      <c r="E3615" t="s">
        <v>149</v>
      </c>
    </row>
    <row r="3616" spans="5:5" x14ac:dyDescent="0.25">
      <c r="E3616" t="s">
        <v>149</v>
      </c>
    </row>
    <row r="3617" spans="5:5" x14ac:dyDescent="0.25">
      <c r="E3617" t="s">
        <v>149</v>
      </c>
    </row>
    <row r="3618" spans="5:5" x14ac:dyDescent="0.25">
      <c r="E3618" t="s">
        <v>149</v>
      </c>
    </row>
    <row r="3619" spans="5:5" x14ac:dyDescent="0.25">
      <c r="E3619" t="s">
        <v>149</v>
      </c>
    </row>
    <row r="3620" spans="5:5" x14ac:dyDescent="0.25">
      <c r="E3620" t="s">
        <v>149</v>
      </c>
    </row>
    <row r="3621" spans="5:5" x14ac:dyDescent="0.25">
      <c r="E3621" t="s">
        <v>149</v>
      </c>
    </row>
    <row r="3622" spans="5:5" x14ac:dyDescent="0.25">
      <c r="E3622" t="s">
        <v>149</v>
      </c>
    </row>
    <row r="3623" spans="5:5" x14ac:dyDescent="0.25">
      <c r="E3623" t="s">
        <v>149</v>
      </c>
    </row>
    <row r="3624" spans="5:5" x14ac:dyDescent="0.25">
      <c r="E3624" t="s">
        <v>149</v>
      </c>
    </row>
    <row r="3625" spans="5:5" x14ac:dyDescent="0.25">
      <c r="E3625" t="s">
        <v>149</v>
      </c>
    </row>
    <row r="3626" spans="5:5" x14ac:dyDescent="0.25">
      <c r="E3626" t="s">
        <v>149</v>
      </c>
    </row>
    <row r="3627" spans="5:5" x14ac:dyDescent="0.25">
      <c r="E3627" t="s">
        <v>149</v>
      </c>
    </row>
    <row r="3628" spans="5:5" x14ac:dyDescent="0.25">
      <c r="E3628" t="s">
        <v>149</v>
      </c>
    </row>
    <row r="3629" spans="5:5" x14ac:dyDescent="0.25">
      <c r="E3629" t="s">
        <v>149</v>
      </c>
    </row>
    <row r="3630" spans="5:5" x14ac:dyDescent="0.25">
      <c r="E3630" t="s">
        <v>149</v>
      </c>
    </row>
    <row r="3631" spans="5:5" x14ac:dyDescent="0.25">
      <c r="E3631" t="s">
        <v>149</v>
      </c>
    </row>
    <row r="3632" spans="5:5" x14ac:dyDescent="0.25">
      <c r="E3632" t="s">
        <v>149</v>
      </c>
    </row>
    <row r="3633" spans="5:5" x14ac:dyDescent="0.25">
      <c r="E3633" t="s">
        <v>149</v>
      </c>
    </row>
    <row r="3634" spans="5:5" x14ac:dyDescent="0.25">
      <c r="E3634" t="s">
        <v>149</v>
      </c>
    </row>
    <row r="3635" spans="5:5" x14ac:dyDescent="0.25">
      <c r="E3635" t="s">
        <v>149</v>
      </c>
    </row>
    <row r="3636" spans="5:5" x14ac:dyDescent="0.25">
      <c r="E3636" t="s">
        <v>149</v>
      </c>
    </row>
    <row r="3637" spans="5:5" x14ac:dyDescent="0.25">
      <c r="E3637" t="s">
        <v>149</v>
      </c>
    </row>
    <row r="3638" spans="5:5" x14ac:dyDescent="0.25">
      <c r="E3638" t="s">
        <v>149</v>
      </c>
    </row>
    <row r="3639" spans="5:5" x14ac:dyDescent="0.25">
      <c r="E3639" t="s">
        <v>149</v>
      </c>
    </row>
    <row r="3640" spans="5:5" x14ac:dyDescent="0.25">
      <c r="E3640" t="s">
        <v>149</v>
      </c>
    </row>
    <row r="3641" spans="5:5" x14ac:dyDescent="0.25">
      <c r="E3641" t="s">
        <v>149</v>
      </c>
    </row>
    <row r="3642" spans="5:5" x14ac:dyDescent="0.25">
      <c r="E3642" t="s">
        <v>149</v>
      </c>
    </row>
    <row r="3643" spans="5:5" x14ac:dyDescent="0.25">
      <c r="E3643" t="s">
        <v>149</v>
      </c>
    </row>
    <row r="3644" spans="5:5" x14ac:dyDescent="0.25">
      <c r="E3644" t="s">
        <v>149</v>
      </c>
    </row>
    <row r="3645" spans="5:5" x14ac:dyDescent="0.25">
      <c r="E3645" t="s">
        <v>149</v>
      </c>
    </row>
    <row r="3646" spans="5:5" x14ac:dyDescent="0.25">
      <c r="E3646" t="s">
        <v>149</v>
      </c>
    </row>
    <row r="3647" spans="5:5" x14ac:dyDescent="0.25">
      <c r="E3647" t="s">
        <v>149</v>
      </c>
    </row>
    <row r="3648" spans="5:5" x14ac:dyDescent="0.25">
      <c r="E3648" t="s">
        <v>149</v>
      </c>
    </row>
    <row r="3649" spans="5:5" x14ac:dyDescent="0.25">
      <c r="E3649" t="s">
        <v>149</v>
      </c>
    </row>
    <row r="3650" spans="5:5" x14ac:dyDescent="0.25">
      <c r="E3650" t="s">
        <v>149</v>
      </c>
    </row>
    <row r="3651" spans="5:5" x14ac:dyDescent="0.25">
      <c r="E3651" t="s">
        <v>149</v>
      </c>
    </row>
    <row r="3652" spans="5:5" x14ac:dyDescent="0.25">
      <c r="E3652" t="s">
        <v>149</v>
      </c>
    </row>
    <row r="3653" spans="5:5" x14ac:dyDescent="0.25">
      <c r="E3653" t="s">
        <v>149</v>
      </c>
    </row>
    <row r="3654" spans="5:5" x14ac:dyDescent="0.25">
      <c r="E3654" t="s">
        <v>149</v>
      </c>
    </row>
    <row r="3655" spans="5:5" x14ac:dyDescent="0.25">
      <c r="E3655" t="s">
        <v>149</v>
      </c>
    </row>
    <row r="3656" spans="5:5" x14ac:dyDescent="0.25">
      <c r="E3656" t="s">
        <v>149</v>
      </c>
    </row>
    <row r="3657" spans="5:5" x14ac:dyDescent="0.25">
      <c r="E3657" t="s">
        <v>149</v>
      </c>
    </row>
    <row r="3658" spans="5:5" x14ac:dyDescent="0.25">
      <c r="E3658" t="s">
        <v>149</v>
      </c>
    </row>
    <row r="3659" spans="5:5" x14ac:dyDescent="0.25">
      <c r="E3659" t="s">
        <v>149</v>
      </c>
    </row>
    <row r="3660" spans="5:5" x14ac:dyDescent="0.25">
      <c r="E3660" t="s">
        <v>149</v>
      </c>
    </row>
    <row r="3661" spans="5:5" x14ac:dyDescent="0.25">
      <c r="E3661" t="s">
        <v>149</v>
      </c>
    </row>
    <row r="3662" spans="5:5" x14ac:dyDescent="0.25">
      <c r="E3662" t="s">
        <v>149</v>
      </c>
    </row>
  </sheetData>
  <autoFilter ref="A1:E3662" xr:uid="{8E51FBFB-A6D6-4914-BF55-50E630241196}"/>
  <pageMargins left="0.7" right="0.7" top="0.75" bottom="0.75" header="0.3" footer="0.3"/>
  <ignoredErrors>
    <ignoredError sqref="D2:D17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BC58-9B71-4429-8145-AA73651A9E98}">
  <dimension ref="A1:Z1954"/>
  <sheetViews>
    <sheetView tabSelected="1" topLeftCell="G1" workbookViewId="0">
      <selection activeCell="M11" sqref="M11"/>
    </sheetView>
  </sheetViews>
  <sheetFormatPr defaultRowHeight="15" x14ac:dyDescent="0.25"/>
  <cols>
    <col min="2" max="2" width="29.7109375" bestFit="1" customWidth="1"/>
    <col min="3" max="3" width="18" bestFit="1" customWidth="1"/>
    <col min="5" max="5" width="15.7109375" customWidth="1"/>
    <col min="7" max="9" width="16.28515625" customWidth="1"/>
    <col min="10" max="10" width="15.42578125" customWidth="1"/>
    <col min="12" max="12" width="15.85546875" customWidth="1"/>
    <col min="13" max="13" width="12.28515625" customWidth="1"/>
    <col min="14" max="14" width="11.85546875" customWidth="1"/>
    <col min="15" max="15" width="13.7109375" customWidth="1"/>
    <col min="16" max="16" width="13" customWidth="1"/>
    <col min="17" max="17" width="22.140625" bestFit="1" customWidth="1"/>
    <col min="18" max="18" width="11.7109375" customWidth="1"/>
    <col min="19" max="19" width="14.140625" bestFit="1" customWidth="1"/>
    <col min="20" max="20" width="15" customWidth="1"/>
    <col min="21" max="21" width="18" customWidth="1"/>
    <col min="22" max="22" width="21.7109375" customWidth="1"/>
    <col min="23" max="23" width="16.28515625" bestFit="1" customWidth="1"/>
    <col min="24" max="24" width="12" bestFit="1" customWidth="1"/>
    <col min="25" max="25" width="16.85546875" bestFit="1" customWidth="1"/>
  </cols>
  <sheetData>
    <row r="1" spans="1:26" x14ac:dyDescent="0.25">
      <c r="A1" t="s">
        <v>433</v>
      </c>
      <c r="B1" t="s">
        <v>1</v>
      </c>
      <c r="C1" t="s">
        <v>434</v>
      </c>
      <c r="D1" t="s">
        <v>3</v>
      </c>
      <c r="E1" t="s">
        <v>435</v>
      </c>
      <c r="F1" t="s">
        <v>436</v>
      </c>
      <c r="G1" t="s">
        <v>437</v>
      </c>
      <c r="L1" s="1" t="s">
        <v>697</v>
      </c>
    </row>
    <row r="2" spans="1:26" x14ac:dyDescent="0.25">
      <c r="A2">
        <v>9188</v>
      </c>
      <c r="B2" t="s">
        <v>575</v>
      </c>
      <c r="C2" t="s">
        <v>574</v>
      </c>
      <c r="D2" s="3" t="s">
        <v>166</v>
      </c>
      <c r="E2" t="s">
        <v>15</v>
      </c>
      <c r="F2">
        <v>1</v>
      </c>
      <c r="G2">
        <v>72</v>
      </c>
      <c r="L2" t="e" cm="1" vm="1">
        <f t="array" ref="L2">_xlfn._xlws.PY(7,1,A!A1:G10000,B!A1:E10000)</f>
        <v>#VALUE!</v>
      </c>
      <c r="M2" t="e" cm="1" vm="2">
        <f t="array" ref="M2">_FV(L2,"arrayPreview")</f>
        <v>#VALUE!</v>
      </c>
    </row>
    <row r="3" spans="1:26" x14ac:dyDescent="0.25">
      <c r="A3">
        <v>9053</v>
      </c>
      <c r="B3" t="s">
        <v>576</v>
      </c>
      <c r="C3" t="s">
        <v>439</v>
      </c>
      <c r="D3" s="3" t="s">
        <v>164</v>
      </c>
      <c r="E3" t="s">
        <v>45</v>
      </c>
      <c r="F3">
        <v>1</v>
      </c>
      <c r="G3">
        <v>47</v>
      </c>
      <c r="N3" s="1"/>
      <c r="Z3" s="4" t="s">
        <v>708</v>
      </c>
    </row>
    <row r="4" spans="1:26" x14ac:dyDescent="0.25">
      <c r="A4">
        <v>2738</v>
      </c>
      <c r="B4" t="s">
        <v>438</v>
      </c>
      <c r="C4" t="s">
        <v>439</v>
      </c>
      <c r="D4" s="3" t="s">
        <v>164</v>
      </c>
      <c r="E4" t="s">
        <v>15</v>
      </c>
      <c r="F4">
        <v>1</v>
      </c>
      <c r="G4">
        <v>24</v>
      </c>
    </row>
    <row r="5" spans="1:26" x14ac:dyDescent="0.25">
      <c r="A5">
        <v>9053</v>
      </c>
      <c r="B5" t="s">
        <v>576</v>
      </c>
      <c r="C5" t="s">
        <v>577</v>
      </c>
      <c r="D5" s="3" t="s">
        <v>165</v>
      </c>
      <c r="E5" t="s">
        <v>45</v>
      </c>
      <c r="F5">
        <v>1</v>
      </c>
      <c r="G5">
        <v>63</v>
      </c>
    </row>
    <row r="6" spans="1:26" x14ac:dyDescent="0.25">
      <c r="A6">
        <v>2289</v>
      </c>
      <c r="B6" t="s">
        <v>578</v>
      </c>
      <c r="C6" t="s">
        <v>440</v>
      </c>
      <c r="D6" s="3" t="s">
        <v>158</v>
      </c>
      <c r="E6" t="s">
        <v>7</v>
      </c>
      <c r="F6">
        <v>1</v>
      </c>
      <c r="G6">
        <v>9</v>
      </c>
    </row>
    <row r="7" spans="1:26" x14ac:dyDescent="0.25">
      <c r="A7">
        <v>2738</v>
      </c>
      <c r="B7" t="s">
        <v>438</v>
      </c>
      <c r="C7" t="s">
        <v>440</v>
      </c>
      <c r="D7" s="3" t="s">
        <v>158</v>
      </c>
      <c r="E7" t="s">
        <v>15</v>
      </c>
      <c r="F7">
        <v>1</v>
      </c>
      <c r="G7">
        <v>19.5</v>
      </c>
    </row>
    <row r="8" spans="1:26" x14ac:dyDescent="0.25">
      <c r="A8">
        <v>9201</v>
      </c>
      <c r="B8" t="s">
        <v>579</v>
      </c>
      <c r="C8" t="s">
        <v>440</v>
      </c>
      <c r="D8" s="3" t="s">
        <v>158</v>
      </c>
      <c r="E8" t="s">
        <v>15</v>
      </c>
      <c r="F8">
        <v>1</v>
      </c>
      <c r="G8">
        <v>15</v>
      </c>
      <c r="M8" s="1" t="s">
        <v>707</v>
      </c>
    </row>
    <row r="9" spans="1:26" x14ac:dyDescent="0.25">
      <c r="A9">
        <v>2285</v>
      </c>
      <c r="B9" t="s">
        <v>580</v>
      </c>
      <c r="C9" t="s">
        <v>440</v>
      </c>
      <c r="D9" s="3" t="s">
        <v>158</v>
      </c>
      <c r="E9" t="s">
        <v>7</v>
      </c>
      <c r="F9">
        <v>1</v>
      </c>
      <c r="G9">
        <v>19.5</v>
      </c>
      <c r="K9" t="s">
        <v>701</v>
      </c>
      <c r="L9" s="9">
        <v>2738</v>
      </c>
      <c r="M9" s="1" t="s">
        <v>698</v>
      </c>
    </row>
    <row r="10" spans="1:26" x14ac:dyDescent="0.25">
      <c r="A10">
        <v>2283</v>
      </c>
      <c r="B10" t="s">
        <v>582</v>
      </c>
      <c r="C10" t="s">
        <v>581</v>
      </c>
      <c r="D10" s="3" t="s">
        <v>156</v>
      </c>
      <c r="E10" t="s">
        <v>7</v>
      </c>
      <c r="F10">
        <v>1</v>
      </c>
      <c r="G10">
        <v>42</v>
      </c>
      <c r="K10" t="s">
        <v>702</v>
      </c>
      <c r="L10">
        <f>INDEX(Foglio2!D:D,MATCH(A!L9,Foglio2!A:A,0))</f>
        <v>104</v>
      </c>
    </row>
    <row r="11" spans="1:26" x14ac:dyDescent="0.25">
      <c r="A11">
        <v>9188</v>
      </c>
      <c r="B11" t="s">
        <v>575</v>
      </c>
      <c r="C11" t="s">
        <v>581</v>
      </c>
      <c r="D11" s="3" t="s">
        <v>156</v>
      </c>
      <c r="E11" t="s">
        <v>15</v>
      </c>
      <c r="F11">
        <v>1</v>
      </c>
      <c r="G11">
        <v>36</v>
      </c>
      <c r="K11" t="s">
        <v>703</v>
      </c>
      <c r="L11">
        <f>INDEX(Foglio2!B:B,MATCH(L9,Foglio2!A:A,0))</f>
        <v>4320</v>
      </c>
      <c r="M11" t="e" cm="1" vm="1">
        <f t="array" ref="M11">_xlfn._xlws.PY(8,1,L9,L10,L11,L12,L13,L14,A!A1:G10000,B!A1:E10000)</f>
        <v>#VALUE!</v>
      </c>
      <c r="N11" t="e" cm="1" vm="2">
        <f t="array" ref="N11">_FV(M11,"arrayPreview")</f>
        <v>#VALUE!</v>
      </c>
    </row>
    <row r="12" spans="1:26" x14ac:dyDescent="0.25">
      <c r="A12">
        <v>9227</v>
      </c>
      <c r="B12" t="s">
        <v>178</v>
      </c>
      <c r="C12" t="s">
        <v>583</v>
      </c>
      <c r="D12" s="3" t="s">
        <v>169</v>
      </c>
      <c r="E12" t="s">
        <v>15</v>
      </c>
      <c r="F12">
        <v>1</v>
      </c>
      <c r="G12">
        <v>74</v>
      </c>
      <c r="K12" t="s">
        <v>704</v>
      </c>
      <c r="L12">
        <f>INDEX(Foglio2!E:E,MATCH(L9,Foglio2!A:A,0))</f>
        <v>3532.65</v>
      </c>
      <c r="P12" s="12"/>
      <c r="Q12" s="12"/>
      <c r="S12" s="12"/>
      <c r="T12" s="10"/>
      <c r="U12" s="11"/>
      <c r="V12" s="8"/>
    </row>
    <row r="13" spans="1:26" x14ac:dyDescent="0.25">
      <c r="A13">
        <v>9227</v>
      </c>
      <c r="B13" t="s">
        <v>178</v>
      </c>
      <c r="C13" t="s">
        <v>584</v>
      </c>
      <c r="D13" s="3" t="s">
        <v>168</v>
      </c>
      <c r="E13" t="s">
        <v>15</v>
      </c>
      <c r="F13">
        <v>1</v>
      </c>
      <c r="G13">
        <v>42</v>
      </c>
      <c r="K13" t="s">
        <v>705</v>
      </c>
      <c r="L13">
        <v>0</v>
      </c>
    </row>
    <row r="14" spans="1:26" x14ac:dyDescent="0.25">
      <c r="A14">
        <v>9188</v>
      </c>
      <c r="B14" t="s">
        <v>575</v>
      </c>
      <c r="C14" t="s">
        <v>584</v>
      </c>
      <c r="D14" s="3" t="s">
        <v>168</v>
      </c>
      <c r="E14" t="s">
        <v>15</v>
      </c>
      <c r="F14">
        <v>1</v>
      </c>
      <c r="G14">
        <v>21</v>
      </c>
      <c r="K14" t="s">
        <v>706</v>
      </c>
      <c r="L14" s="8">
        <v>35</v>
      </c>
    </row>
    <row r="15" spans="1:26" x14ac:dyDescent="0.25">
      <c r="A15">
        <v>9227</v>
      </c>
      <c r="B15" t="s">
        <v>178</v>
      </c>
      <c r="C15" t="s">
        <v>585</v>
      </c>
      <c r="D15" s="3" t="s">
        <v>180</v>
      </c>
      <c r="E15" t="s">
        <v>15</v>
      </c>
      <c r="F15">
        <v>1</v>
      </c>
      <c r="G15">
        <v>110</v>
      </c>
      <c r="M15" t="e" cm="1" vm="1">
        <f t="array" ref="M15">_xlfn._xlws.PY(9,1,L9,B!A1:E10000)</f>
        <v>#VALUE!</v>
      </c>
      <c r="N15" t="e" cm="1" vm="2">
        <f t="array" ref="N15">_FV(M15,"arrayPreview")</f>
        <v>#VALUE!</v>
      </c>
    </row>
    <row r="16" spans="1:26" x14ac:dyDescent="0.25">
      <c r="A16">
        <v>9227</v>
      </c>
      <c r="B16" t="s">
        <v>178</v>
      </c>
      <c r="C16" t="s">
        <v>586</v>
      </c>
      <c r="D16" s="3" t="s">
        <v>179</v>
      </c>
      <c r="E16" t="s">
        <v>15</v>
      </c>
      <c r="F16">
        <v>1</v>
      </c>
      <c r="G16">
        <v>116</v>
      </c>
      <c r="P16" s="13"/>
    </row>
    <row r="17" spans="1:21" x14ac:dyDescent="0.25">
      <c r="A17">
        <v>2283</v>
      </c>
      <c r="B17" t="s">
        <v>582</v>
      </c>
      <c r="C17" t="s">
        <v>587</v>
      </c>
      <c r="D17" s="3" t="s">
        <v>155</v>
      </c>
      <c r="E17" t="s">
        <v>7</v>
      </c>
      <c r="F17">
        <v>1</v>
      </c>
      <c r="G17">
        <v>27.5</v>
      </c>
      <c r="P17" s="13"/>
    </row>
    <row r="18" spans="1:21" x14ac:dyDescent="0.25">
      <c r="A18">
        <v>9227</v>
      </c>
      <c r="B18" t="s">
        <v>178</v>
      </c>
      <c r="C18" t="s">
        <v>587</v>
      </c>
      <c r="D18" s="3" t="s">
        <v>155</v>
      </c>
      <c r="E18" t="s">
        <v>15</v>
      </c>
      <c r="F18">
        <v>1</v>
      </c>
      <c r="G18">
        <v>63.5</v>
      </c>
      <c r="P18" s="13"/>
    </row>
    <row r="19" spans="1:21" x14ac:dyDescent="0.25">
      <c r="A19">
        <v>2543</v>
      </c>
      <c r="B19" t="s">
        <v>588</v>
      </c>
      <c r="C19" t="s">
        <v>587</v>
      </c>
      <c r="D19" s="3" t="s">
        <v>155</v>
      </c>
      <c r="E19" t="s">
        <v>7</v>
      </c>
      <c r="F19">
        <v>1</v>
      </c>
      <c r="G19">
        <v>34</v>
      </c>
      <c r="P19" s="13"/>
    </row>
    <row r="20" spans="1:21" x14ac:dyDescent="0.25">
      <c r="A20">
        <v>9053</v>
      </c>
      <c r="B20" t="s">
        <v>576</v>
      </c>
      <c r="C20" t="s">
        <v>590</v>
      </c>
      <c r="D20" s="3" t="s">
        <v>167</v>
      </c>
      <c r="E20" t="s">
        <v>45</v>
      </c>
      <c r="F20">
        <v>1</v>
      </c>
      <c r="G20">
        <v>33</v>
      </c>
      <c r="P20" s="13"/>
    </row>
    <row r="21" spans="1:21" x14ac:dyDescent="0.25">
      <c r="A21">
        <v>9227</v>
      </c>
      <c r="B21" t="s">
        <v>178</v>
      </c>
      <c r="C21" t="s">
        <v>590</v>
      </c>
      <c r="D21" s="3" t="s">
        <v>167</v>
      </c>
      <c r="E21" t="s">
        <v>15</v>
      </c>
      <c r="F21">
        <v>1</v>
      </c>
      <c r="G21">
        <v>30</v>
      </c>
      <c r="P21" s="13"/>
    </row>
    <row r="22" spans="1:21" x14ac:dyDescent="0.25">
      <c r="A22">
        <v>9188</v>
      </c>
      <c r="B22" t="s">
        <v>575</v>
      </c>
      <c r="C22" t="s">
        <v>591</v>
      </c>
      <c r="D22" s="3" t="s">
        <v>171</v>
      </c>
      <c r="E22" t="s">
        <v>15</v>
      </c>
      <c r="F22">
        <v>1</v>
      </c>
      <c r="G22">
        <v>36</v>
      </c>
      <c r="P22" s="13"/>
    </row>
    <row r="23" spans="1:21" x14ac:dyDescent="0.25">
      <c r="A23">
        <v>9227</v>
      </c>
      <c r="B23" t="s">
        <v>178</v>
      </c>
      <c r="C23" t="s">
        <v>591</v>
      </c>
      <c r="D23" s="3" t="s">
        <v>171</v>
      </c>
      <c r="E23" t="s">
        <v>15</v>
      </c>
      <c r="F23">
        <v>1</v>
      </c>
      <c r="G23">
        <v>63</v>
      </c>
      <c r="P23" s="13"/>
    </row>
    <row r="24" spans="1:21" x14ac:dyDescent="0.25">
      <c r="A24">
        <v>2289</v>
      </c>
      <c r="B24" t="s">
        <v>578</v>
      </c>
      <c r="C24" t="s">
        <v>592</v>
      </c>
      <c r="D24" s="3" t="s">
        <v>154</v>
      </c>
      <c r="E24" t="s">
        <v>7</v>
      </c>
      <c r="F24">
        <v>1</v>
      </c>
      <c r="G24">
        <v>31</v>
      </c>
    </row>
    <row r="25" spans="1:21" x14ac:dyDescent="0.25">
      <c r="A25">
        <v>2283</v>
      </c>
      <c r="B25" t="s">
        <v>582</v>
      </c>
      <c r="C25" t="s">
        <v>592</v>
      </c>
      <c r="D25" s="3" t="s">
        <v>154</v>
      </c>
      <c r="E25" t="s">
        <v>7</v>
      </c>
      <c r="F25">
        <v>1</v>
      </c>
      <c r="G25">
        <v>36</v>
      </c>
    </row>
    <row r="26" spans="1:21" x14ac:dyDescent="0.25">
      <c r="A26">
        <v>9188</v>
      </c>
      <c r="B26" t="s">
        <v>575</v>
      </c>
      <c r="C26" t="s">
        <v>592</v>
      </c>
      <c r="D26" s="3" t="s">
        <v>154</v>
      </c>
      <c r="E26" t="s">
        <v>15</v>
      </c>
      <c r="F26">
        <v>1</v>
      </c>
      <c r="G26">
        <v>32</v>
      </c>
    </row>
    <row r="27" spans="1:21" x14ac:dyDescent="0.25">
      <c r="A27">
        <v>9201</v>
      </c>
      <c r="B27" t="s">
        <v>579</v>
      </c>
      <c r="C27" t="s">
        <v>593</v>
      </c>
      <c r="D27" s="3" t="s">
        <v>153</v>
      </c>
      <c r="E27" t="s">
        <v>15</v>
      </c>
      <c r="F27">
        <v>1</v>
      </c>
      <c r="G27">
        <v>21</v>
      </c>
    </row>
    <row r="28" spans="1:21" x14ac:dyDescent="0.25">
      <c r="A28">
        <v>2289</v>
      </c>
      <c r="B28" t="s">
        <v>578</v>
      </c>
      <c r="C28" t="s">
        <v>593</v>
      </c>
      <c r="D28" s="3" t="s">
        <v>153</v>
      </c>
      <c r="E28" t="s">
        <v>7</v>
      </c>
      <c r="F28">
        <v>1</v>
      </c>
      <c r="G28">
        <v>18</v>
      </c>
      <c r="M28" t="e" cm="1" vm="1">
        <f t="array" ref="M28">_xlfn._xlws.PY(10,1,L9,B!A1:E10000)</f>
        <v>#VALUE!</v>
      </c>
      <c r="N28" t="e" cm="1" vm="2">
        <f t="array" ref="N28">_FV(M28,"arrayPreview")</f>
        <v>#VALUE!</v>
      </c>
    </row>
    <row r="29" spans="1:21" x14ac:dyDescent="0.25">
      <c r="A29">
        <v>2283</v>
      </c>
      <c r="B29" t="s">
        <v>582</v>
      </c>
      <c r="C29" t="s">
        <v>593</v>
      </c>
      <c r="D29" s="3" t="s">
        <v>153</v>
      </c>
      <c r="E29" t="s">
        <v>7</v>
      </c>
      <c r="F29">
        <v>1</v>
      </c>
      <c r="G29">
        <v>19.5</v>
      </c>
      <c r="P29" s="13"/>
      <c r="R29" s="8"/>
      <c r="S29" s="8"/>
      <c r="T29" s="8"/>
      <c r="U29" s="8"/>
    </row>
    <row r="30" spans="1:21" x14ac:dyDescent="0.25">
      <c r="A30">
        <v>2290</v>
      </c>
      <c r="B30" t="s">
        <v>594</v>
      </c>
      <c r="C30" t="s">
        <v>593</v>
      </c>
      <c r="D30" s="3" t="s">
        <v>153</v>
      </c>
      <c r="E30" t="s">
        <v>7</v>
      </c>
      <c r="F30">
        <v>1</v>
      </c>
      <c r="G30">
        <v>19.5</v>
      </c>
      <c r="P30" s="13"/>
      <c r="R30" s="8"/>
      <c r="S30" s="8"/>
      <c r="T30" s="8"/>
      <c r="U30" s="8"/>
    </row>
    <row r="31" spans="1:21" x14ac:dyDescent="0.25">
      <c r="A31">
        <v>9188</v>
      </c>
      <c r="B31" t="s">
        <v>575</v>
      </c>
      <c r="C31" t="s">
        <v>593</v>
      </c>
      <c r="D31" s="3" t="s">
        <v>153</v>
      </c>
      <c r="E31" t="s">
        <v>15</v>
      </c>
      <c r="F31">
        <v>1</v>
      </c>
      <c r="G31">
        <v>26.5</v>
      </c>
      <c r="P31" s="13"/>
      <c r="R31" s="8"/>
      <c r="S31" s="8"/>
      <c r="T31" s="8"/>
      <c r="U31" s="8"/>
    </row>
    <row r="32" spans="1:21" x14ac:dyDescent="0.25">
      <c r="A32">
        <v>9213</v>
      </c>
      <c r="B32" t="s">
        <v>596</v>
      </c>
      <c r="C32" t="s">
        <v>595</v>
      </c>
      <c r="D32" s="3" t="s">
        <v>163</v>
      </c>
      <c r="E32" t="s">
        <v>15</v>
      </c>
      <c r="F32">
        <v>1</v>
      </c>
      <c r="G32">
        <v>27</v>
      </c>
      <c r="P32" s="13"/>
      <c r="R32" s="8"/>
      <c r="S32" s="8"/>
      <c r="T32" s="8"/>
      <c r="U32" s="8"/>
    </row>
    <row r="33" spans="1:22" x14ac:dyDescent="0.25">
      <c r="A33">
        <v>9053</v>
      </c>
      <c r="B33" t="s">
        <v>576</v>
      </c>
      <c r="C33" t="s">
        <v>595</v>
      </c>
      <c r="D33" s="3" t="s">
        <v>163</v>
      </c>
      <c r="E33" t="s">
        <v>45</v>
      </c>
      <c r="F33">
        <v>1</v>
      </c>
      <c r="G33">
        <v>22</v>
      </c>
      <c r="P33" s="13"/>
      <c r="R33" s="8"/>
      <c r="S33" s="8"/>
      <c r="T33" s="8"/>
      <c r="U33" s="8"/>
    </row>
    <row r="34" spans="1:22" x14ac:dyDescent="0.25">
      <c r="A34">
        <v>9213</v>
      </c>
      <c r="B34" t="s">
        <v>596</v>
      </c>
      <c r="C34" t="s">
        <v>597</v>
      </c>
      <c r="D34" s="3" t="s">
        <v>182</v>
      </c>
      <c r="E34" t="s">
        <v>15</v>
      </c>
      <c r="F34">
        <v>1</v>
      </c>
      <c r="G34">
        <v>30</v>
      </c>
      <c r="P34" s="13"/>
      <c r="R34" s="8"/>
      <c r="S34" s="8"/>
      <c r="T34" s="8"/>
      <c r="U34" s="8"/>
    </row>
    <row r="35" spans="1:22" x14ac:dyDescent="0.25">
      <c r="A35">
        <v>2553</v>
      </c>
      <c r="B35" t="s">
        <v>589</v>
      </c>
      <c r="C35" t="s">
        <v>597</v>
      </c>
      <c r="D35" s="3" t="s">
        <v>182</v>
      </c>
      <c r="E35" t="s">
        <v>7</v>
      </c>
      <c r="F35">
        <v>1</v>
      </c>
      <c r="G35">
        <v>14</v>
      </c>
      <c r="P35" s="13"/>
      <c r="R35" s="8"/>
      <c r="S35" s="8"/>
      <c r="T35" s="8"/>
      <c r="U35" s="8"/>
    </row>
    <row r="36" spans="1:22" x14ac:dyDescent="0.25">
      <c r="A36">
        <v>9213</v>
      </c>
      <c r="B36" t="s">
        <v>596</v>
      </c>
      <c r="C36" t="s">
        <v>598</v>
      </c>
      <c r="D36" s="3" t="s">
        <v>181</v>
      </c>
      <c r="E36" t="s">
        <v>15</v>
      </c>
      <c r="F36">
        <v>1</v>
      </c>
      <c r="G36">
        <v>27</v>
      </c>
      <c r="P36" s="13"/>
      <c r="R36" s="8"/>
      <c r="S36" s="8"/>
      <c r="T36" s="8"/>
      <c r="U36" s="8"/>
    </row>
    <row r="37" spans="1:22" x14ac:dyDescent="0.25">
      <c r="A37">
        <v>9053</v>
      </c>
      <c r="B37" t="s">
        <v>576</v>
      </c>
      <c r="C37" t="s">
        <v>598</v>
      </c>
      <c r="D37" s="3" t="s">
        <v>181</v>
      </c>
      <c r="E37" t="s">
        <v>45</v>
      </c>
      <c r="F37">
        <v>1</v>
      </c>
      <c r="G37">
        <v>40</v>
      </c>
      <c r="R37" s="8"/>
      <c r="S37" s="8"/>
      <c r="T37" s="8"/>
      <c r="U37" s="8"/>
    </row>
    <row r="38" spans="1:22" x14ac:dyDescent="0.25">
      <c r="A38">
        <v>9188</v>
      </c>
      <c r="B38" t="s">
        <v>575</v>
      </c>
      <c r="C38" t="s">
        <v>598</v>
      </c>
      <c r="D38" s="3" t="s">
        <v>181</v>
      </c>
      <c r="E38" t="s">
        <v>15</v>
      </c>
      <c r="F38">
        <v>1</v>
      </c>
      <c r="G38">
        <v>30</v>
      </c>
      <c r="R38" s="8"/>
      <c r="S38" s="8"/>
      <c r="T38" s="8"/>
      <c r="U38" s="8"/>
    </row>
    <row r="39" spans="1:22" x14ac:dyDescent="0.25">
      <c r="A39">
        <v>2543</v>
      </c>
      <c r="B39" t="s">
        <v>588</v>
      </c>
      <c r="C39" t="s">
        <v>598</v>
      </c>
      <c r="D39" s="3" t="s">
        <v>181</v>
      </c>
      <c r="E39" t="s">
        <v>7</v>
      </c>
      <c r="F39">
        <v>1</v>
      </c>
      <c r="G39">
        <v>23</v>
      </c>
      <c r="R39" s="8"/>
      <c r="S39" s="8"/>
      <c r="T39" s="8"/>
      <c r="U39" s="8"/>
    </row>
    <row r="40" spans="1:22" x14ac:dyDescent="0.25">
      <c r="A40">
        <v>9053</v>
      </c>
      <c r="B40" t="s">
        <v>576</v>
      </c>
      <c r="C40" t="s">
        <v>441</v>
      </c>
      <c r="D40" s="3" t="s">
        <v>184</v>
      </c>
      <c r="E40" t="s">
        <v>45</v>
      </c>
      <c r="F40">
        <v>1</v>
      </c>
      <c r="G40">
        <v>49</v>
      </c>
    </row>
    <row r="41" spans="1:22" x14ac:dyDescent="0.25">
      <c r="A41">
        <v>2738</v>
      </c>
      <c r="B41" t="s">
        <v>438</v>
      </c>
      <c r="C41" t="s">
        <v>441</v>
      </c>
      <c r="D41" s="3" t="s">
        <v>184</v>
      </c>
      <c r="E41" t="s">
        <v>15</v>
      </c>
      <c r="F41">
        <v>1</v>
      </c>
      <c r="G41">
        <v>14</v>
      </c>
    </row>
    <row r="42" spans="1:22" x14ac:dyDescent="0.25">
      <c r="A42">
        <v>9053</v>
      </c>
      <c r="B42" t="s">
        <v>576</v>
      </c>
      <c r="C42" t="s">
        <v>442</v>
      </c>
      <c r="D42" s="3" t="s">
        <v>183</v>
      </c>
      <c r="E42" t="s">
        <v>45</v>
      </c>
      <c r="F42">
        <v>1</v>
      </c>
      <c r="G42">
        <v>25</v>
      </c>
      <c r="R42" s="7"/>
    </row>
    <row r="43" spans="1:22" x14ac:dyDescent="0.25">
      <c r="A43">
        <v>9188</v>
      </c>
      <c r="B43" t="s">
        <v>575</v>
      </c>
      <c r="C43" t="s">
        <v>442</v>
      </c>
      <c r="D43" s="3" t="s">
        <v>183</v>
      </c>
      <c r="E43" t="s">
        <v>15</v>
      </c>
      <c r="F43">
        <v>1</v>
      </c>
      <c r="G43">
        <v>12</v>
      </c>
      <c r="R43" s="7"/>
      <c r="U43" t="s">
        <v>709</v>
      </c>
      <c r="V43" t="s">
        <v>710</v>
      </c>
    </row>
    <row r="44" spans="1:22" x14ac:dyDescent="0.25">
      <c r="A44">
        <v>2738</v>
      </c>
      <c r="B44" t="s">
        <v>438</v>
      </c>
      <c r="C44" t="s">
        <v>442</v>
      </c>
      <c r="D44" s="3" t="s">
        <v>183</v>
      </c>
      <c r="E44" t="s">
        <v>15</v>
      </c>
      <c r="F44">
        <v>1</v>
      </c>
      <c r="G44">
        <v>20</v>
      </c>
      <c r="R44" s="7"/>
      <c r="U44" t="s">
        <v>711</v>
      </c>
      <c r="V44" t="s">
        <v>712</v>
      </c>
    </row>
    <row r="45" spans="1:22" x14ac:dyDescent="0.25">
      <c r="A45">
        <v>9188</v>
      </c>
      <c r="B45" t="s">
        <v>575</v>
      </c>
      <c r="C45" t="s">
        <v>599</v>
      </c>
      <c r="D45" s="3" t="s">
        <v>186</v>
      </c>
      <c r="E45" t="s">
        <v>15</v>
      </c>
      <c r="F45">
        <v>1</v>
      </c>
      <c r="G45">
        <v>114</v>
      </c>
      <c r="R45" s="6"/>
      <c r="U45" t="s">
        <v>713</v>
      </c>
      <c r="V45" t="s">
        <v>714</v>
      </c>
    </row>
    <row r="46" spans="1:22" x14ac:dyDescent="0.25">
      <c r="A46">
        <v>9053</v>
      </c>
      <c r="B46" t="s">
        <v>576</v>
      </c>
      <c r="C46" t="s">
        <v>600</v>
      </c>
      <c r="D46" s="3" t="s">
        <v>190</v>
      </c>
      <c r="E46" t="s">
        <v>45</v>
      </c>
      <c r="F46">
        <v>1</v>
      </c>
      <c r="G46">
        <v>47</v>
      </c>
      <c r="R46" s="5"/>
      <c r="U46" t="s">
        <v>715</v>
      </c>
      <c r="V46" t="s">
        <v>716</v>
      </c>
    </row>
    <row r="47" spans="1:22" x14ac:dyDescent="0.25">
      <c r="A47">
        <v>9202</v>
      </c>
      <c r="B47" t="s">
        <v>601</v>
      </c>
      <c r="C47" t="s">
        <v>600</v>
      </c>
      <c r="D47" s="3" t="s">
        <v>190</v>
      </c>
      <c r="E47" t="s">
        <v>45</v>
      </c>
      <c r="F47">
        <v>1</v>
      </c>
      <c r="G47">
        <v>15</v>
      </c>
      <c r="R47" s="7"/>
      <c r="U47" t="s">
        <v>717</v>
      </c>
      <c r="V47" t="s">
        <v>718</v>
      </c>
    </row>
    <row r="48" spans="1:22" x14ac:dyDescent="0.25">
      <c r="A48">
        <v>2553</v>
      </c>
      <c r="B48" t="s">
        <v>589</v>
      </c>
      <c r="C48" t="s">
        <v>600</v>
      </c>
      <c r="D48" s="3" t="s">
        <v>190</v>
      </c>
      <c r="E48" t="s">
        <v>15</v>
      </c>
      <c r="F48">
        <v>1</v>
      </c>
      <c r="G48">
        <v>10</v>
      </c>
      <c r="R48" s="7"/>
    </row>
    <row r="49" spans="1:21" x14ac:dyDescent="0.25">
      <c r="A49">
        <v>9188</v>
      </c>
      <c r="B49" t="s">
        <v>575</v>
      </c>
      <c r="C49" t="s">
        <v>602</v>
      </c>
      <c r="D49" s="3" t="s">
        <v>189</v>
      </c>
      <c r="E49" t="s">
        <v>15</v>
      </c>
      <c r="F49">
        <v>1</v>
      </c>
      <c r="G49">
        <v>55</v>
      </c>
      <c r="R49" s="6"/>
      <c r="T49" t="s">
        <v>719</v>
      </c>
      <c r="U49" t="s">
        <v>720</v>
      </c>
    </row>
    <row r="50" spans="1:21" x14ac:dyDescent="0.25">
      <c r="A50">
        <v>9064</v>
      </c>
      <c r="B50" t="s">
        <v>603</v>
      </c>
      <c r="C50" t="s">
        <v>602</v>
      </c>
      <c r="D50" s="3" t="s">
        <v>189</v>
      </c>
      <c r="E50" t="s">
        <v>15</v>
      </c>
      <c r="F50">
        <v>1</v>
      </c>
      <c r="G50">
        <v>16</v>
      </c>
      <c r="R50" s="6"/>
      <c r="T50" t="s">
        <v>721</v>
      </c>
      <c r="U50" t="s">
        <v>722</v>
      </c>
    </row>
    <row r="51" spans="1:21" x14ac:dyDescent="0.25">
      <c r="A51">
        <v>2553</v>
      </c>
      <c r="B51" t="s">
        <v>589</v>
      </c>
      <c r="C51" t="s">
        <v>602</v>
      </c>
      <c r="D51" s="3" t="s">
        <v>189</v>
      </c>
      <c r="E51" t="s">
        <v>15</v>
      </c>
      <c r="F51">
        <v>1</v>
      </c>
      <c r="G51">
        <v>10</v>
      </c>
      <c r="R51" s="5"/>
      <c r="T51" t="s">
        <v>723</v>
      </c>
      <c r="U51" t="s">
        <v>724</v>
      </c>
    </row>
    <row r="52" spans="1:21" x14ac:dyDescent="0.25">
      <c r="A52">
        <v>2289</v>
      </c>
      <c r="B52" t="s">
        <v>578</v>
      </c>
      <c r="C52" t="s">
        <v>604</v>
      </c>
      <c r="D52" s="3" t="s">
        <v>188</v>
      </c>
      <c r="E52" t="s">
        <v>7</v>
      </c>
      <c r="F52">
        <v>1</v>
      </c>
      <c r="G52">
        <v>31</v>
      </c>
      <c r="R52" s="7"/>
      <c r="T52" t="s">
        <v>725</v>
      </c>
      <c r="U52" t="s">
        <v>716</v>
      </c>
    </row>
    <row r="53" spans="1:21" x14ac:dyDescent="0.25">
      <c r="A53">
        <v>9034</v>
      </c>
      <c r="B53" t="s">
        <v>605</v>
      </c>
      <c r="C53" t="s">
        <v>604</v>
      </c>
      <c r="D53" s="3" t="s">
        <v>188</v>
      </c>
      <c r="E53" t="s">
        <v>15</v>
      </c>
      <c r="F53">
        <v>1</v>
      </c>
      <c r="G53">
        <v>65</v>
      </c>
      <c r="T53" t="s">
        <v>726</v>
      </c>
      <c r="U53" t="s">
        <v>727</v>
      </c>
    </row>
    <row r="54" spans="1:21" x14ac:dyDescent="0.25">
      <c r="A54">
        <v>2283</v>
      </c>
      <c r="B54" t="s">
        <v>582</v>
      </c>
      <c r="C54" t="s">
        <v>606</v>
      </c>
      <c r="D54" s="3" t="s">
        <v>187</v>
      </c>
      <c r="E54" t="s">
        <v>7</v>
      </c>
      <c r="F54">
        <v>1</v>
      </c>
      <c r="G54">
        <v>45</v>
      </c>
    </row>
    <row r="55" spans="1:21" x14ac:dyDescent="0.25">
      <c r="A55">
        <v>2543</v>
      </c>
      <c r="B55" t="s">
        <v>588</v>
      </c>
      <c r="C55" t="s">
        <v>606</v>
      </c>
      <c r="D55" s="3" t="s">
        <v>187</v>
      </c>
      <c r="E55" t="s">
        <v>7</v>
      </c>
      <c r="F55">
        <v>1</v>
      </c>
      <c r="G55">
        <v>10</v>
      </c>
    </row>
    <row r="56" spans="1:21" x14ac:dyDescent="0.25">
      <c r="A56">
        <v>9034</v>
      </c>
      <c r="B56" t="s">
        <v>605</v>
      </c>
      <c r="C56" t="s">
        <v>606</v>
      </c>
      <c r="D56" s="3" t="s">
        <v>187</v>
      </c>
      <c r="E56" t="s">
        <v>15</v>
      </c>
      <c r="F56">
        <v>1</v>
      </c>
      <c r="G56">
        <v>42</v>
      </c>
    </row>
    <row r="57" spans="1:21" x14ac:dyDescent="0.25">
      <c r="A57">
        <v>9064</v>
      </c>
      <c r="B57" t="s">
        <v>603</v>
      </c>
      <c r="C57" t="s">
        <v>607</v>
      </c>
      <c r="D57" s="3" t="s">
        <v>191</v>
      </c>
      <c r="E57" t="s">
        <v>15</v>
      </c>
      <c r="F57">
        <v>1</v>
      </c>
      <c r="G57">
        <v>20</v>
      </c>
    </row>
    <row r="58" spans="1:21" x14ac:dyDescent="0.25">
      <c r="A58">
        <v>9034</v>
      </c>
      <c r="B58" t="s">
        <v>605</v>
      </c>
      <c r="C58" t="s">
        <v>607</v>
      </c>
      <c r="D58" s="3" t="s">
        <v>191</v>
      </c>
      <c r="E58" t="s">
        <v>15</v>
      </c>
      <c r="F58">
        <v>1</v>
      </c>
      <c r="G58">
        <v>63</v>
      </c>
    </row>
    <row r="59" spans="1:21" x14ac:dyDescent="0.25">
      <c r="A59">
        <v>2289</v>
      </c>
      <c r="B59" t="s">
        <v>578</v>
      </c>
      <c r="C59" t="s">
        <v>608</v>
      </c>
      <c r="D59" s="3" t="s">
        <v>195</v>
      </c>
      <c r="E59" t="s">
        <v>7</v>
      </c>
      <c r="F59">
        <v>1</v>
      </c>
      <c r="G59">
        <v>15</v>
      </c>
    </row>
    <row r="60" spans="1:21" x14ac:dyDescent="0.25">
      <c r="A60">
        <v>2283</v>
      </c>
      <c r="B60" t="s">
        <v>582</v>
      </c>
      <c r="C60" t="s">
        <v>608</v>
      </c>
      <c r="D60" s="3" t="s">
        <v>195</v>
      </c>
      <c r="E60" t="s">
        <v>7</v>
      </c>
      <c r="F60">
        <v>1</v>
      </c>
      <c r="G60">
        <v>20</v>
      </c>
    </row>
    <row r="61" spans="1:21" x14ac:dyDescent="0.25">
      <c r="A61">
        <v>9188</v>
      </c>
      <c r="B61" t="s">
        <v>575</v>
      </c>
      <c r="C61" t="s">
        <v>608</v>
      </c>
      <c r="D61" s="3" t="s">
        <v>195</v>
      </c>
      <c r="E61" t="s">
        <v>15</v>
      </c>
      <c r="F61">
        <v>1</v>
      </c>
      <c r="G61">
        <v>57</v>
      </c>
    </row>
    <row r="62" spans="1:21" x14ac:dyDescent="0.25">
      <c r="A62">
        <v>2289</v>
      </c>
      <c r="B62" t="s">
        <v>578</v>
      </c>
      <c r="C62" t="s">
        <v>609</v>
      </c>
      <c r="D62" s="3" t="s">
        <v>197</v>
      </c>
      <c r="E62" t="s">
        <v>7</v>
      </c>
      <c r="F62">
        <v>1</v>
      </c>
      <c r="G62">
        <v>8</v>
      </c>
    </row>
    <row r="63" spans="1:21" x14ac:dyDescent="0.25">
      <c r="A63">
        <v>9201</v>
      </c>
      <c r="B63" t="s">
        <v>579</v>
      </c>
      <c r="C63" t="s">
        <v>609</v>
      </c>
      <c r="D63" s="3" t="s">
        <v>197</v>
      </c>
      <c r="E63" t="s">
        <v>15</v>
      </c>
      <c r="F63">
        <v>1</v>
      </c>
      <c r="G63">
        <v>95</v>
      </c>
    </row>
    <row r="64" spans="1:21" x14ac:dyDescent="0.25">
      <c r="A64">
        <v>2553</v>
      </c>
      <c r="B64" t="s">
        <v>589</v>
      </c>
      <c r="C64" t="s">
        <v>609</v>
      </c>
      <c r="D64" s="3" t="s">
        <v>197</v>
      </c>
      <c r="E64" t="s">
        <v>15</v>
      </c>
      <c r="F64">
        <v>1</v>
      </c>
      <c r="G64">
        <v>12</v>
      </c>
    </row>
    <row r="65" spans="1:7" x14ac:dyDescent="0.25">
      <c r="A65">
        <v>2289</v>
      </c>
      <c r="B65" t="s">
        <v>578</v>
      </c>
      <c r="C65" t="s">
        <v>443</v>
      </c>
      <c r="D65" s="3" t="s">
        <v>196</v>
      </c>
      <c r="E65" t="s">
        <v>7</v>
      </c>
      <c r="F65">
        <v>1</v>
      </c>
      <c r="G65">
        <v>15</v>
      </c>
    </row>
    <row r="66" spans="1:7" x14ac:dyDescent="0.25">
      <c r="A66">
        <v>9201</v>
      </c>
      <c r="B66" t="s">
        <v>579</v>
      </c>
      <c r="C66" t="s">
        <v>443</v>
      </c>
      <c r="D66" s="3" t="s">
        <v>196</v>
      </c>
      <c r="E66" t="s">
        <v>15</v>
      </c>
      <c r="F66">
        <v>1</v>
      </c>
      <c r="G66">
        <v>51</v>
      </c>
    </row>
    <row r="67" spans="1:7" x14ac:dyDescent="0.25">
      <c r="A67">
        <v>2738</v>
      </c>
      <c r="B67" t="s">
        <v>438</v>
      </c>
      <c r="C67" t="s">
        <v>443</v>
      </c>
      <c r="D67" s="3" t="s">
        <v>196</v>
      </c>
      <c r="E67" t="s">
        <v>15</v>
      </c>
      <c r="F67">
        <v>1</v>
      </c>
      <c r="G67">
        <v>51</v>
      </c>
    </row>
    <row r="68" spans="1:7" x14ac:dyDescent="0.25">
      <c r="A68">
        <v>9036</v>
      </c>
      <c r="B68" t="s">
        <v>610</v>
      </c>
      <c r="C68" t="s">
        <v>611</v>
      </c>
      <c r="D68" s="3" t="s">
        <v>199</v>
      </c>
      <c r="E68" t="s">
        <v>15</v>
      </c>
      <c r="F68">
        <v>1</v>
      </c>
      <c r="G68">
        <v>30</v>
      </c>
    </row>
    <row r="69" spans="1:7" x14ac:dyDescent="0.25">
      <c r="A69">
        <v>9034</v>
      </c>
      <c r="B69" t="s">
        <v>605</v>
      </c>
      <c r="C69" t="s">
        <v>611</v>
      </c>
      <c r="D69" s="3" t="s">
        <v>199</v>
      </c>
      <c r="E69" t="s">
        <v>15</v>
      </c>
      <c r="F69">
        <v>1</v>
      </c>
      <c r="G69">
        <v>72</v>
      </c>
    </row>
    <row r="70" spans="1:7" x14ac:dyDescent="0.25">
      <c r="A70">
        <v>9229</v>
      </c>
      <c r="B70" t="s">
        <v>194</v>
      </c>
      <c r="C70" t="s">
        <v>611</v>
      </c>
      <c r="D70" s="3" t="s">
        <v>199</v>
      </c>
      <c r="E70" t="s">
        <v>15</v>
      </c>
      <c r="F70">
        <v>1</v>
      </c>
      <c r="G70">
        <v>21</v>
      </c>
    </row>
    <row r="71" spans="1:7" x14ac:dyDescent="0.25">
      <c r="A71">
        <v>9034</v>
      </c>
      <c r="B71" t="s">
        <v>605</v>
      </c>
      <c r="C71" t="s">
        <v>612</v>
      </c>
      <c r="D71" s="3" t="s">
        <v>198</v>
      </c>
      <c r="E71" t="s">
        <v>15</v>
      </c>
      <c r="F71">
        <v>1</v>
      </c>
      <c r="G71">
        <v>10</v>
      </c>
    </row>
    <row r="72" spans="1:7" x14ac:dyDescent="0.25">
      <c r="A72">
        <v>9202</v>
      </c>
      <c r="B72" t="s">
        <v>601</v>
      </c>
      <c r="C72" t="s">
        <v>612</v>
      </c>
      <c r="D72" s="3" t="s">
        <v>198</v>
      </c>
      <c r="E72" t="s">
        <v>45</v>
      </c>
      <c r="F72">
        <v>1</v>
      </c>
      <c r="G72">
        <v>33</v>
      </c>
    </row>
    <row r="73" spans="1:7" x14ac:dyDescent="0.25">
      <c r="A73">
        <v>9188</v>
      </c>
      <c r="B73" t="s">
        <v>575</v>
      </c>
      <c r="C73" t="s">
        <v>612</v>
      </c>
      <c r="D73" s="3" t="s">
        <v>198</v>
      </c>
      <c r="E73" t="s">
        <v>15</v>
      </c>
      <c r="F73">
        <v>1</v>
      </c>
      <c r="G73">
        <v>35</v>
      </c>
    </row>
    <row r="74" spans="1:7" x14ac:dyDescent="0.25">
      <c r="A74">
        <v>9053</v>
      </c>
      <c r="B74" t="s">
        <v>576</v>
      </c>
      <c r="C74" t="s">
        <v>612</v>
      </c>
      <c r="D74" s="3" t="s">
        <v>198</v>
      </c>
      <c r="E74" t="s">
        <v>45</v>
      </c>
      <c r="F74">
        <v>1</v>
      </c>
      <c r="G74">
        <v>20</v>
      </c>
    </row>
    <row r="75" spans="1:7" x14ac:dyDescent="0.25">
      <c r="A75">
        <v>2283</v>
      </c>
      <c r="B75" t="s">
        <v>582</v>
      </c>
      <c r="C75" t="s">
        <v>613</v>
      </c>
      <c r="D75" s="3" t="s">
        <v>200</v>
      </c>
      <c r="E75" t="s">
        <v>7</v>
      </c>
      <c r="F75">
        <v>1</v>
      </c>
      <c r="G75">
        <v>36</v>
      </c>
    </row>
    <row r="76" spans="1:7" x14ac:dyDescent="0.25">
      <c r="A76">
        <v>2285</v>
      </c>
      <c r="B76" t="s">
        <v>580</v>
      </c>
      <c r="C76" t="s">
        <v>613</v>
      </c>
      <c r="D76" s="3" t="s">
        <v>200</v>
      </c>
      <c r="E76" t="s">
        <v>7</v>
      </c>
      <c r="F76">
        <v>1</v>
      </c>
      <c r="G76">
        <v>10</v>
      </c>
    </row>
    <row r="77" spans="1:7" x14ac:dyDescent="0.25">
      <c r="A77">
        <v>9201</v>
      </c>
      <c r="B77" t="s">
        <v>579</v>
      </c>
      <c r="C77" t="s">
        <v>613</v>
      </c>
      <c r="D77" s="3" t="s">
        <v>200</v>
      </c>
      <c r="E77" t="s">
        <v>15</v>
      </c>
      <c r="F77">
        <v>1</v>
      </c>
      <c r="G77">
        <v>18</v>
      </c>
    </row>
    <row r="78" spans="1:7" x14ac:dyDescent="0.25">
      <c r="A78">
        <v>9188</v>
      </c>
      <c r="B78" t="s">
        <v>575</v>
      </c>
      <c r="C78" t="s">
        <v>613</v>
      </c>
      <c r="D78" s="3" t="s">
        <v>200</v>
      </c>
      <c r="E78" t="s">
        <v>15</v>
      </c>
      <c r="F78">
        <v>1</v>
      </c>
      <c r="G78">
        <v>57</v>
      </c>
    </row>
    <row r="79" spans="1:7" x14ac:dyDescent="0.25">
      <c r="A79">
        <v>9188</v>
      </c>
      <c r="B79" t="s">
        <v>575</v>
      </c>
      <c r="C79" t="s">
        <v>614</v>
      </c>
      <c r="D79" s="3" t="s">
        <v>204</v>
      </c>
      <c r="E79" t="s">
        <v>15</v>
      </c>
      <c r="F79">
        <v>1</v>
      </c>
      <c r="G79">
        <v>25</v>
      </c>
    </row>
    <row r="80" spans="1:7" x14ac:dyDescent="0.25">
      <c r="A80">
        <v>9034</v>
      </c>
      <c r="B80" t="s">
        <v>605</v>
      </c>
      <c r="C80" t="s">
        <v>614</v>
      </c>
      <c r="D80" s="3" t="s">
        <v>204</v>
      </c>
      <c r="E80" t="s">
        <v>15</v>
      </c>
      <c r="F80">
        <v>1</v>
      </c>
      <c r="G80">
        <v>81</v>
      </c>
    </row>
    <row r="81" spans="1:7" x14ac:dyDescent="0.25">
      <c r="A81">
        <v>2289</v>
      </c>
      <c r="B81" t="s">
        <v>578</v>
      </c>
      <c r="C81" t="s">
        <v>615</v>
      </c>
      <c r="D81" s="3" t="s">
        <v>201</v>
      </c>
      <c r="E81" t="s">
        <v>7</v>
      </c>
      <c r="F81">
        <v>1</v>
      </c>
      <c r="G81">
        <v>20</v>
      </c>
    </row>
    <row r="82" spans="1:7" x14ac:dyDescent="0.25">
      <c r="A82">
        <v>9034</v>
      </c>
      <c r="B82" t="s">
        <v>605</v>
      </c>
      <c r="C82" t="s">
        <v>615</v>
      </c>
      <c r="D82" s="3" t="s">
        <v>201</v>
      </c>
      <c r="E82" t="s">
        <v>15</v>
      </c>
      <c r="F82">
        <v>1</v>
      </c>
      <c r="G82">
        <v>45</v>
      </c>
    </row>
    <row r="83" spans="1:7" x14ac:dyDescent="0.25">
      <c r="A83">
        <v>9053</v>
      </c>
      <c r="B83" t="s">
        <v>576</v>
      </c>
      <c r="C83" t="s">
        <v>615</v>
      </c>
      <c r="D83" s="3" t="s">
        <v>201</v>
      </c>
      <c r="E83" t="s">
        <v>45</v>
      </c>
      <c r="F83">
        <v>1</v>
      </c>
      <c r="G83">
        <v>30</v>
      </c>
    </row>
    <row r="84" spans="1:7" x14ac:dyDescent="0.25">
      <c r="A84">
        <v>2736</v>
      </c>
      <c r="B84" t="s">
        <v>62</v>
      </c>
      <c r="C84" t="s">
        <v>616</v>
      </c>
      <c r="D84" s="3" t="s">
        <v>202</v>
      </c>
      <c r="E84" t="s">
        <v>15</v>
      </c>
      <c r="F84">
        <v>1</v>
      </c>
      <c r="G84">
        <v>129</v>
      </c>
    </row>
    <row r="85" spans="1:7" x14ac:dyDescent="0.25">
      <c r="A85">
        <v>9053</v>
      </c>
      <c r="B85" t="s">
        <v>576</v>
      </c>
      <c r="C85" t="s">
        <v>617</v>
      </c>
      <c r="D85" s="3" t="s">
        <v>203</v>
      </c>
      <c r="E85" t="s">
        <v>45</v>
      </c>
      <c r="F85">
        <v>1</v>
      </c>
      <c r="G85">
        <v>62</v>
      </c>
    </row>
    <row r="86" spans="1:7" x14ac:dyDescent="0.25">
      <c r="A86">
        <v>9033</v>
      </c>
      <c r="B86" t="s">
        <v>618</v>
      </c>
      <c r="C86" t="s">
        <v>617</v>
      </c>
      <c r="D86" s="3" t="s">
        <v>203</v>
      </c>
      <c r="E86" t="s">
        <v>15</v>
      </c>
      <c r="F86">
        <v>1</v>
      </c>
      <c r="G86">
        <v>10</v>
      </c>
    </row>
    <row r="87" spans="1:7" x14ac:dyDescent="0.25">
      <c r="A87">
        <v>9036</v>
      </c>
      <c r="B87" t="s">
        <v>610</v>
      </c>
      <c r="C87" t="s">
        <v>617</v>
      </c>
      <c r="D87" s="3" t="s">
        <v>203</v>
      </c>
      <c r="E87" t="s">
        <v>15</v>
      </c>
      <c r="F87">
        <v>1</v>
      </c>
      <c r="G87">
        <v>11</v>
      </c>
    </row>
    <row r="88" spans="1:7" x14ac:dyDescent="0.25">
      <c r="A88">
        <v>9188</v>
      </c>
      <c r="B88" t="s">
        <v>575</v>
      </c>
      <c r="C88" t="s">
        <v>619</v>
      </c>
      <c r="D88" s="3" t="s">
        <v>229</v>
      </c>
      <c r="E88" t="s">
        <v>15</v>
      </c>
      <c r="F88">
        <v>1</v>
      </c>
      <c r="G88">
        <v>92</v>
      </c>
    </row>
    <row r="89" spans="1:7" x14ac:dyDescent="0.25">
      <c r="A89">
        <v>9188</v>
      </c>
      <c r="B89" t="s">
        <v>575</v>
      </c>
      <c r="C89" t="s">
        <v>620</v>
      </c>
      <c r="D89" s="3" t="s">
        <v>212</v>
      </c>
      <c r="E89" t="s">
        <v>15</v>
      </c>
      <c r="F89">
        <v>1</v>
      </c>
      <c r="G89">
        <v>45</v>
      </c>
    </row>
    <row r="90" spans="1:7" x14ac:dyDescent="0.25">
      <c r="A90">
        <v>2543</v>
      </c>
      <c r="B90" t="s">
        <v>588</v>
      </c>
      <c r="C90" t="s">
        <v>620</v>
      </c>
      <c r="D90" s="3" t="s">
        <v>212</v>
      </c>
      <c r="E90" t="s">
        <v>7</v>
      </c>
      <c r="F90">
        <v>1</v>
      </c>
      <c r="G90">
        <v>13</v>
      </c>
    </row>
    <row r="91" spans="1:7" x14ac:dyDescent="0.25">
      <c r="A91">
        <v>2289</v>
      </c>
      <c r="B91" t="s">
        <v>578</v>
      </c>
      <c r="C91" t="s">
        <v>620</v>
      </c>
      <c r="D91" s="3" t="s">
        <v>212</v>
      </c>
      <c r="E91" t="s">
        <v>7</v>
      </c>
      <c r="F91">
        <v>1</v>
      </c>
      <c r="G91">
        <v>15</v>
      </c>
    </row>
    <row r="92" spans="1:7" x14ac:dyDescent="0.25">
      <c r="A92">
        <v>2289</v>
      </c>
      <c r="B92" t="s">
        <v>578</v>
      </c>
      <c r="C92" t="s">
        <v>621</v>
      </c>
      <c r="D92" s="3" t="s">
        <v>211</v>
      </c>
      <c r="E92" t="s">
        <v>7</v>
      </c>
      <c r="F92">
        <v>1</v>
      </c>
      <c r="G92">
        <v>18</v>
      </c>
    </row>
    <row r="93" spans="1:7" x14ac:dyDescent="0.25">
      <c r="A93">
        <v>9034</v>
      </c>
      <c r="B93" t="s">
        <v>605</v>
      </c>
      <c r="C93" t="s">
        <v>621</v>
      </c>
      <c r="D93" s="3" t="s">
        <v>211</v>
      </c>
      <c r="E93" t="s">
        <v>15</v>
      </c>
      <c r="F93">
        <v>1</v>
      </c>
      <c r="G93">
        <v>40</v>
      </c>
    </row>
    <row r="94" spans="1:7" x14ac:dyDescent="0.25">
      <c r="A94">
        <v>9201</v>
      </c>
      <c r="B94" t="s">
        <v>579</v>
      </c>
      <c r="C94" t="s">
        <v>621</v>
      </c>
      <c r="D94" s="3" t="s">
        <v>211</v>
      </c>
      <c r="E94" t="s">
        <v>15</v>
      </c>
      <c r="F94">
        <v>1</v>
      </c>
      <c r="G94">
        <v>17</v>
      </c>
    </row>
    <row r="95" spans="1:7" x14ac:dyDescent="0.25">
      <c r="A95">
        <v>2553</v>
      </c>
      <c r="B95" t="s">
        <v>589</v>
      </c>
      <c r="C95" t="s">
        <v>621</v>
      </c>
      <c r="D95" s="3" t="s">
        <v>211</v>
      </c>
      <c r="E95" t="s">
        <v>7</v>
      </c>
      <c r="F95">
        <v>1</v>
      </c>
      <c r="G95">
        <v>20</v>
      </c>
    </row>
    <row r="96" spans="1:7" x14ac:dyDescent="0.25">
      <c r="A96">
        <v>9201</v>
      </c>
      <c r="B96" t="s">
        <v>579</v>
      </c>
      <c r="C96" t="s">
        <v>444</v>
      </c>
      <c r="D96" s="3" t="s">
        <v>221</v>
      </c>
      <c r="E96" t="s">
        <v>15</v>
      </c>
      <c r="F96">
        <v>1</v>
      </c>
      <c r="G96">
        <v>44</v>
      </c>
    </row>
    <row r="97" spans="1:7" x14ac:dyDescent="0.25">
      <c r="A97">
        <v>9188</v>
      </c>
      <c r="B97" t="s">
        <v>575</v>
      </c>
      <c r="C97" t="s">
        <v>444</v>
      </c>
      <c r="D97" s="3" t="s">
        <v>221</v>
      </c>
      <c r="E97" t="s">
        <v>15</v>
      </c>
      <c r="F97">
        <v>1</v>
      </c>
      <c r="G97">
        <v>24</v>
      </c>
    </row>
    <row r="98" spans="1:7" x14ac:dyDescent="0.25">
      <c r="A98">
        <v>2738</v>
      </c>
      <c r="B98" t="s">
        <v>438</v>
      </c>
      <c r="C98" t="s">
        <v>444</v>
      </c>
      <c r="D98" s="3" t="s">
        <v>221</v>
      </c>
      <c r="E98" t="s">
        <v>15</v>
      </c>
      <c r="F98">
        <v>1</v>
      </c>
      <c r="G98">
        <v>20</v>
      </c>
    </row>
    <row r="99" spans="1:7" x14ac:dyDescent="0.25">
      <c r="A99">
        <v>9188</v>
      </c>
      <c r="B99" t="s">
        <v>575</v>
      </c>
      <c r="C99" t="s">
        <v>622</v>
      </c>
      <c r="D99" s="3" t="s">
        <v>228</v>
      </c>
      <c r="E99" t="s">
        <v>15</v>
      </c>
      <c r="F99">
        <v>1</v>
      </c>
      <c r="G99">
        <v>14</v>
      </c>
    </row>
    <row r="100" spans="1:7" x14ac:dyDescent="0.25">
      <c r="A100">
        <v>9053</v>
      </c>
      <c r="B100" t="s">
        <v>576</v>
      </c>
      <c r="C100" t="s">
        <v>622</v>
      </c>
      <c r="D100" s="3" t="s">
        <v>228</v>
      </c>
      <c r="E100" t="s">
        <v>45</v>
      </c>
      <c r="F100">
        <v>1</v>
      </c>
      <c r="G100">
        <v>80</v>
      </c>
    </row>
    <row r="101" spans="1:7" x14ac:dyDescent="0.25">
      <c r="A101">
        <v>9034</v>
      </c>
      <c r="B101" t="s">
        <v>605</v>
      </c>
      <c r="C101" t="s">
        <v>445</v>
      </c>
      <c r="D101" s="3" t="s">
        <v>220</v>
      </c>
      <c r="E101" t="s">
        <v>15</v>
      </c>
      <c r="F101">
        <v>1</v>
      </c>
      <c r="G101">
        <v>15</v>
      </c>
    </row>
    <row r="102" spans="1:7" x14ac:dyDescent="0.25">
      <c r="A102">
        <v>2738</v>
      </c>
      <c r="B102" t="s">
        <v>438</v>
      </c>
      <c r="C102" t="s">
        <v>445</v>
      </c>
      <c r="D102" s="3" t="s">
        <v>220</v>
      </c>
      <c r="E102" t="s">
        <v>15</v>
      </c>
      <c r="F102">
        <v>1</v>
      </c>
      <c r="G102">
        <v>40</v>
      </c>
    </row>
    <row r="103" spans="1:7" x14ac:dyDescent="0.25">
      <c r="A103">
        <v>9053</v>
      </c>
      <c r="B103" t="s">
        <v>576</v>
      </c>
      <c r="C103" t="s">
        <v>445</v>
      </c>
      <c r="D103" s="3" t="s">
        <v>220</v>
      </c>
      <c r="E103" t="s">
        <v>45</v>
      </c>
      <c r="F103">
        <v>1</v>
      </c>
      <c r="G103">
        <v>25</v>
      </c>
    </row>
    <row r="104" spans="1:7" x14ac:dyDescent="0.25">
      <c r="A104">
        <v>9229</v>
      </c>
      <c r="B104" t="s">
        <v>194</v>
      </c>
      <c r="C104" t="s">
        <v>445</v>
      </c>
      <c r="D104" s="3" t="s">
        <v>220</v>
      </c>
      <c r="E104" t="s">
        <v>15</v>
      </c>
      <c r="F104">
        <v>1</v>
      </c>
      <c r="G104">
        <v>10</v>
      </c>
    </row>
    <row r="105" spans="1:7" x14ac:dyDescent="0.25">
      <c r="A105">
        <v>9188</v>
      </c>
      <c r="B105" t="s">
        <v>575</v>
      </c>
      <c r="C105" t="s">
        <v>623</v>
      </c>
      <c r="D105" s="3" t="s">
        <v>227</v>
      </c>
      <c r="E105" t="s">
        <v>15</v>
      </c>
      <c r="F105">
        <v>1</v>
      </c>
      <c r="G105">
        <v>90</v>
      </c>
    </row>
    <row r="106" spans="1:7" x14ac:dyDescent="0.25">
      <c r="A106">
        <v>2283</v>
      </c>
      <c r="B106" t="s">
        <v>582</v>
      </c>
      <c r="C106" t="s">
        <v>446</v>
      </c>
      <c r="D106" s="3" t="s">
        <v>209</v>
      </c>
      <c r="E106" t="s">
        <v>7</v>
      </c>
      <c r="F106">
        <v>1</v>
      </c>
      <c r="G106">
        <v>40</v>
      </c>
    </row>
    <row r="107" spans="1:7" x14ac:dyDescent="0.25">
      <c r="A107">
        <v>2289</v>
      </c>
      <c r="B107" t="s">
        <v>578</v>
      </c>
      <c r="C107" t="s">
        <v>446</v>
      </c>
      <c r="D107" s="3" t="s">
        <v>209</v>
      </c>
      <c r="E107" t="s">
        <v>7</v>
      </c>
      <c r="F107">
        <v>1</v>
      </c>
      <c r="G107">
        <v>17</v>
      </c>
    </row>
    <row r="108" spans="1:7" x14ac:dyDescent="0.25">
      <c r="A108">
        <v>2290</v>
      </c>
      <c r="B108" t="s">
        <v>594</v>
      </c>
      <c r="C108" t="s">
        <v>446</v>
      </c>
      <c r="D108" s="3" t="s">
        <v>209</v>
      </c>
      <c r="E108" t="s">
        <v>7</v>
      </c>
      <c r="F108">
        <v>1</v>
      </c>
      <c r="G108">
        <v>17</v>
      </c>
    </row>
    <row r="109" spans="1:7" x14ac:dyDescent="0.25">
      <c r="A109">
        <v>2738</v>
      </c>
      <c r="B109" t="s">
        <v>438</v>
      </c>
      <c r="C109" t="s">
        <v>446</v>
      </c>
      <c r="D109" s="3" t="s">
        <v>209</v>
      </c>
      <c r="E109" t="s">
        <v>15</v>
      </c>
      <c r="F109">
        <v>1</v>
      </c>
      <c r="G109">
        <v>20</v>
      </c>
    </row>
    <row r="110" spans="1:7" x14ac:dyDescent="0.25">
      <c r="A110">
        <v>9053</v>
      </c>
      <c r="B110" t="s">
        <v>576</v>
      </c>
      <c r="C110" t="s">
        <v>446</v>
      </c>
      <c r="D110" s="3" t="s">
        <v>209</v>
      </c>
      <c r="E110" t="s">
        <v>45</v>
      </c>
      <c r="F110">
        <v>1</v>
      </c>
      <c r="G110">
        <v>15</v>
      </c>
    </row>
    <row r="111" spans="1:7" x14ac:dyDescent="0.25">
      <c r="A111">
        <v>2738</v>
      </c>
      <c r="B111" t="s">
        <v>438</v>
      </c>
      <c r="C111" t="s">
        <v>447</v>
      </c>
      <c r="D111" s="3" t="s">
        <v>219</v>
      </c>
      <c r="E111" t="s">
        <v>15</v>
      </c>
      <c r="F111">
        <v>1</v>
      </c>
      <c r="G111">
        <v>123</v>
      </c>
    </row>
    <row r="112" spans="1:7" x14ac:dyDescent="0.25">
      <c r="A112">
        <v>9201</v>
      </c>
      <c r="B112" t="s">
        <v>579</v>
      </c>
      <c r="C112" t="s">
        <v>624</v>
      </c>
      <c r="D112" s="3" t="s">
        <v>226</v>
      </c>
      <c r="E112" t="s">
        <v>15</v>
      </c>
      <c r="F112">
        <v>1</v>
      </c>
      <c r="G112">
        <v>10</v>
      </c>
    </row>
    <row r="113" spans="1:7" x14ac:dyDescent="0.25">
      <c r="A113">
        <v>9053</v>
      </c>
      <c r="B113" t="s">
        <v>576</v>
      </c>
      <c r="C113" t="s">
        <v>624</v>
      </c>
      <c r="D113" s="3" t="s">
        <v>226</v>
      </c>
      <c r="E113" t="s">
        <v>45</v>
      </c>
      <c r="F113">
        <v>1</v>
      </c>
      <c r="G113">
        <v>61</v>
      </c>
    </row>
    <row r="114" spans="1:7" x14ac:dyDescent="0.25">
      <c r="A114">
        <v>2283</v>
      </c>
      <c r="B114" t="s">
        <v>582</v>
      </c>
      <c r="C114" t="s">
        <v>625</v>
      </c>
      <c r="D114" s="3" t="s">
        <v>208</v>
      </c>
      <c r="E114" t="s">
        <v>7</v>
      </c>
      <c r="F114">
        <v>1</v>
      </c>
      <c r="G114">
        <v>18</v>
      </c>
    </row>
    <row r="115" spans="1:7" x14ac:dyDescent="0.25">
      <c r="A115">
        <v>9229</v>
      </c>
      <c r="B115" t="s">
        <v>194</v>
      </c>
      <c r="C115" t="s">
        <v>625</v>
      </c>
      <c r="D115" s="3" t="s">
        <v>208</v>
      </c>
      <c r="E115" t="s">
        <v>15</v>
      </c>
      <c r="F115">
        <v>1</v>
      </c>
      <c r="G115">
        <v>2</v>
      </c>
    </row>
    <row r="116" spans="1:7" x14ac:dyDescent="0.25">
      <c r="A116">
        <v>9053</v>
      </c>
      <c r="B116" t="s">
        <v>576</v>
      </c>
      <c r="C116" t="s">
        <v>625</v>
      </c>
      <c r="D116" s="3" t="s">
        <v>208</v>
      </c>
      <c r="E116" t="s">
        <v>45</v>
      </c>
      <c r="F116">
        <v>1</v>
      </c>
      <c r="G116">
        <v>68</v>
      </c>
    </row>
    <row r="117" spans="1:7" x14ac:dyDescent="0.25">
      <c r="A117">
        <v>2283</v>
      </c>
      <c r="B117" t="s">
        <v>582</v>
      </c>
      <c r="C117" t="s">
        <v>626</v>
      </c>
      <c r="D117" s="3" t="s">
        <v>207</v>
      </c>
      <c r="E117" t="s">
        <v>7</v>
      </c>
      <c r="F117">
        <v>1</v>
      </c>
      <c r="G117">
        <v>19</v>
      </c>
    </row>
    <row r="118" spans="1:7" x14ac:dyDescent="0.25">
      <c r="A118">
        <v>2285</v>
      </c>
      <c r="B118" t="s">
        <v>580</v>
      </c>
      <c r="C118" t="s">
        <v>626</v>
      </c>
      <c r="D118" s="3" t="s">
        <v>207</v>
      </c>
      <c r="E118" t="s">
        <v>7</v>
      </c>
      <c r="F118">
        <v>1</v>
      </c>
      <c r="G118">
        <v>11</v>
      </c>
    </row>
    <row r="119" spans="1:7" x14ac:dyDescent="0.25">
      <c r="A119">
        <v>2289</v>
      </c>
      <c r="B119" t="s">
        <v>578</v>
      </c>
      <c r="C119" t="s">
        <v>626</v>
      </c>
      <c r="D119" s="3" t="s">
        <v>207</v>
      </c>
      <c r="E119" t="s">
        <v>7</v>
      </c>
      <c r="F119">
        <v>1</v>
      </c>
      <c r="G119">
        <v>16</v>
      </c>
    </row>
    <row r="120" spans="1:7" x14ac:dyDescent="0.25">
      <c r="A120">
        <v>9188</v>
      </c>
      <c r="B120" t="s">
        <v>575</v>
      </c>
      <c r="C120" t="s">
        <v>626</v>
      </c>
      <c r="D120" s="3" t="s">
        <v>207</v>
      </c>
      <c r="E120" t="s">
        <v>15</v>
      </c>
      <c r="F120">
        <v>1</v>
      </c>
      <c r="G120">
        <v>41</v>
      </c>
    </row>
    <row r="121" spans="1:7" x14ac:dyDescent="0.25">
      <c r="A121">
        <v>2289</v>
      </c>
      <c r="B121" t="s">
        <v>578</v>
      </c>
      <c r="C121" t="s">
        <v>627</v>
      </c>
      <c r="D121" s="3" t="s">
        <v>206</v>
      </c>
      <c r="E121" t="s">
        <v>7</v>
      </c>
      <c r="F121">
        <v>1</v>
      </c>
      <c r="G121">
        <v>41</v>
      </c>
    </row>
    <row r="122" spans="1:7" x14ac:dyDescent="0.25">
      <c r="A122">
        <v>2283</v>
      </c>
      <c r="B122" t="s">
        <v>582</v>
      </c>
      <c r="C122" t="s">
        <v>627</v>
      </c>
      <c r="D122" s="3" t="s">
        <v>206</v>
      </c>
      <c r="E122" t="s">
        <v>7</v>
      </c>
      <c r="F122">
        <v>1</v>
      </c>
      <c r="G122">
        <v>30</v>
      </c>
    </row>
    <row r="123" spans="1:7" x14ac:dyDescent="0.25">
      <c r="A123">
        <v>2738</v>
      </c>
      <c r="B123" t="s">
        <v>438</v>
      </c>
      <c r="C123" t="s">
        <v>448</v>
      </c>
      <c r="D123" s="3" t="s">
        <v>218</v>
      </c>
      <c r="E123" t="s">
        <v>15</v>
      </c>
      <c r="F123">
        <v>1</v>
      </c>
      <c r="G123">
        <v>123</v>
      </c>
    </row>
    <row r="124" spans="1:7" x14ac:dyDescent="0.25">
      <c r="A124">
        <v>9188</v>
      </c>
      <c r="B124" t="s">
        <v>575</v>
      </c>
      <c r="C124" t="s">
        <v>628</v>
      </c>
      <c r="D124" s="3" t="s">
        <v>225</v>
      </c>
      <c r="E124" t="s">
        <v>15</v>
      </c>
      <c r="F124">
        <v>1</v>
      </c>
      <c r="G124">
        <v>78</v>
      </c>
    </row>
    <row r="125" spans="1:7" x14ac:dyDescent="0.25">
      <c r="A125">
        <v>2737</v>
      </c>
      <c r="B125" t="s">
        <v>630</v>
      </c>
      <c r="C125" t="s">
        <v>629</v>
      </c>
      <c r="D125" s="3" t="s">
        <v>214</v>
      </c>
      <c r="E125" t="s">
        <v>15</v>
      </c>
      <c r="F125">
        <v>1</v>
      </c>
      <c r="G125">
        <v>20</v>
      </c>
    </row>
    <row r="126" spans="1:7" x14ac:dyDescent="0.25">
      <c r="A126">
        <v>9188</v>
      </c>
      <c r="B126" t="s">
        <v>575</v>
      </c>
      <c r="C126" t="s">
        <v>629</v>
      </c>
      <c r="D126" s="3" t="s">
        <v>214</v>
      </c>
      <c r="E126" t="s">
        <v>15</v>
      </c>
      <c r="F126">
        <v>1</v>
      </c>
      <c r="G126">
        <v>33</v>
      </c>
    </row>
    <row r="127" spans="1:7" x14ac:dyDescent="0.25">
      <c r="A127">
        <v>9033</v>
      </c>
      <c r="B127" t="s">
        <v>618</v>
      </c>
      <c r="C127" t="s">
        <v>629</v>
      </c>
      <c r="D127" s="3" t="s">
        <v>214</v>
      </c>
      <c r="E127" t="s">
        <v>15</v>
      </c>
      <c r="F127">
        <v>1</v>
      </c>
      <c r="G127">
        <v>17</v>
      </c>
    </row>
    <row r="128" spans="1:7" x14ac:dyDescent="0.25">
      <c r="A128">
        <v>2735</v>
      </c>
      <c r="B128" t="s">
        <v>631</v>
      </c>
      <c r="C128" t="s">
        <v>629</v>
      </c>
      <c r="D128" s="3" t="s">
        <v>214</v>
      </c>
      <c r="E128" t="s">
        <v>15</v>
      </c>
      <c r="F128">
        <v>1</v>
      </c>
      <c r="G128">
        <v>16</v>
      </c>
    </row>
    <row r="129" spans="1:7" x14ac:dyDescent="0.25">
      <c r="A129">
        <v>2289</v>
      </c>
      <c r="B129" t="s">
        <v>578</v>
      </c>
      <c r="C129" t="s">
        <v>449</v>
      </c>
      <c r="D129" s="3" t="s">
        <v>205</v>
      </c>
      <c r="E129" t="s">
        <v>7</v>
      </c>
      <c r="F129">
        <v>1</v>
      </c>
      <c r="G129">
        <v>20</v>
      </c>
    </row>
    <row r="130" spans="1:7" x14ac:dyDescent="0.25">
      <c r="A130">
        <v>2283</v>
      </c>
      <c r="B130" t="s">
        <v>582</v>
      </c>
      <c r="C130" t="s">
        <v>449</v>
      </c>
      <c r="D130" s="3" t="s">
        <v>205</v>
      </c>
      <c r="E130" t="s">
        <v>7</v>
      </c>
      <c r="F130">
        <v>1</v>
      </c>
      <c r="G130">
        <v>15</v>
      </c>
    </row>
    <row r="131" spans="1:7" x14ac:dyDescent="0.25">
      <c r="A131">
        <v>2543</v>
      </c>
      <c r="B131" t="s">
        <v>588</v>
      </c>
      <c r="C131" t="s">
        <v>449</v>
      </c>
      <c r="D131" s="3" t="s">
        <v>205</v>
      </c>
      <c r="E131" t="s">
        <v>7</v>
      </c>
      <c r="F131">
        <v>1</v>
      </c>
      <c r="G131">
        <v>15</v>
      </c>
    </row>
    <row r="132" spans="1:7" x14ac:dyDescent="0.25">
      <c r="A132">
        <v>2738</v>
      </c>
      <c r="B132" t="s">
        <v>438</v>
      </c>
      <c r="C132" t="s">
        <v>449</v>
      </c>
      <c r="D132" s="3" t="s">
        <v>205</v>
      </c>
      <c r="E132" t="s">
        <v>15</v>
      </c>
      <c r="F132">
        <v>1</v>
      </c>
      <c r="G132">
        <v>51</v>
      </c>
    </row>
    <row r="133" spans="1:7" x14ac:dyDescent="0.25">
      <c r="A133">
        <v>2738</v>
      </c>
      <c r="B133" t="s">
        <v>438</v>
      </c>
      <c r="C133" t="s">
        <v>449</v>
      </c>
      <c r="D133" s="3" t="s">
        <v>205</v>
      </c>
      <c r="E133" t="s">
        <v>15</v>
      </c>
      <c r="F133">
        <v>1</v>
      </c>
      <c r="G133">
        <v>51</v>
      </c>
    </row>
    <row r="134" spans="1:7" x14ac:dyDescent="0.25">
      <c r="A134">
        <v>9033</v>
      </c>
      <c r="B134" t="s">
        <v>618</v>
      </c>
      <c r="C134" t="s">
        <v>632</v>
      </c>
      <c r="D134" s="3" t="s">
        <v>213</v>
      </c>
      <c r="E134" t="s">
        <v>15</v>
      </c>
      <c r="F134">
        <v>1</v>
      </c>
      <c r="G134">
        <v>11</v>
      </c>
    </row>
    <row r="135" spans="1:7" x14ac:dyDescent="0.25">
      <c r="A135">
        <v>9053</v>
      </c>
      <c r="B135" t="s">
        <v>576</v>
      </c>
      <c r="C135" t="s">
        <v>632</v>
      </c>
      <c r="D135" s="3" t="s">
        <v>213</v>
      </c>
      <c r="E135" t="s">
        <v>45</v>
      </c>
      <c r="F135">
        <v>1</v>
      </c>
      <c r="G135">
        <v>61</v>
      </c>
    </row>
    <row r="136" spans="1:7" x14ac:dyDescent="0.25">
      <c r="A136">
        <v>2553</v>
      </c>
      <c r="B136" t="s">
        <v>589</v>
      </c>
      <c r="C136" t="s">
        <v>632</v>
      </c>
      <c r="D136" s="3" t="s">
        <v>213</v>
      </c>
      <c r="E136" t="s">
        <v>7</v>
      </c>
      <c r="F136">
        <v>1</v>
      </c>
      <c r="G136">
        <v>6</v>
      </c>
    </row>
    <row r="137" spans="1:7" x14ac:dyDescent="0.25">
      <c r="A137">
        <v>9201</v>
      </c>
      <c r="B137" t="s">
        <v>579</v>
      </c>
      <c r="C137" t="s">
        <v>450</v>
      </c>
      <c r="D137" s="3" t="s">
        <v>217</v>
      </c>
      <c r="E137" t="s">
        <v>15</v>
      </c>
      <c r="F137">
        <v>1</v>
      </c>
      <c r="G137">
        <v>59</v>
      </c>
    </row>
    <row r="138" spans="1:7" x14ac:dyDescent="0.25">
      <c r="A138">
        <v>2738</v>
      </c>
      <c r="B138" t="s">
        <v>438</v>
      </c>
      <c r="C138" t="s">
        <v>450</v>
      </c>
      <c r="D138" s="3" t="s">
        <v>217</v>
      </c>
      <c r="E138" t="s">
        <v>15</v>
      </c>
      <c r="F138">
        <v>1</v>
      </c>
      <c r="G138">
        <v>60</v>
      </c>
    </row>
    <row r="139" spans="1:7" x14ac:dyDescent="0.25">
      <c r="A139">
        <v>9229</v>
      </c>
      <c r="B139" t="s">
        <v>194</v>
      </c>
      <c r="C139" t="s">
        <v>450</v>
      </c>
      <c r="D139" t="s">
        <v>217</v>
      </c>
      <c r="E139" t="s">
        <v>15</v>
      </c>
      <c r="F139">
        <v>1</v>
      </c>
      <c r="G139">
        <v>2</v>
      </c>
    </row>
    <row r="140" spans="1:7" x14ac:dyDescent="0.25">
      <c r="A140">
        <v>2738</v>
      </c>
      <c r="B140" t="s">
        <v>438</v>
      </c>
      <c r="C140" t="s">
        <v>451</v>
      </c>
      <c r="D140" t="s">
        <v>216</v>
      </c>
      <c r="E140" t="s">
        <v>15</v>
      </c>
      <c r="F140">
        <v>1</v>
      </c>
      <c r="G140">
        <v>100</v>
      </c>
    </row>
    <row r="141" spans="1:7" x14ac:dyDescent="0.25">
      <c r="A141">
        <v>9237</v>
      </c>
      <c r="B141" t="s">
        <v>633</v>
      </c>
      <c r="C141" t="s">
        <v>451</v>
      </c>
      <c r="D141" t="s">
        <v>216</v>
      </c>
      <c r="E141" t="s">
        <v>15</v>
      </c>
      <c r="F141">
        <v>1</v>
      </c>
      <c r="G141">
        <v>23</v>
      </c>
    </row>
    <row r="142" spans="1:7" x14ac:dyDescent="0.25">
      <c r="A142">
        <v>9229</v>
      </c>
      <c r="B142" t="s">
        <v>194</v>
      </c>
      <c r="C142" t="s">
        <v>451</v>
      </c>
      <c r="D142" t="s">
        <v>216</v>
      </c>
      <c r="E142" t="s">
        <v>15</v>
      </c>
      <c r="F142">
        <v>1</v>
      </c>
      <c r="G142">
        <v>2</v>
      </c>
    </row>
    <row r="143" spans="1:7" x14ac:dyDescent="0.25">
      <c r="A143">
        <v>9188</v>
      </c>
      <c r="B143" t="s">
        <v>575</v>
      </c>
      <c r="C143" t="s">
        <v>634</v>
      </c>
      <c r="D143" t="s">
        <v>224</v>
      </c>
      <c r="E143" t="s">
        <v>15</v>
      </c>
      <c r="F143">
        <v>1</v>
      </c>
      <c r="G143">
        <v>79</v>
      </c>
    </row>
    <row r="144" spans="1:7" x14ac:dyDescent="0.25">
      <c r="A144">
        <v>9237</v>
      </c>
      <c r="B144" t="s">
        <v>633</v>
      </c>
      <c r="C144" t="s">
        <v>634</v>
      </c>
      <c r="D144" t="s">
        <v>224</v>
      </c>
      <c r="E144" t="s">
        <v>15</v>
      </c>
      <c r="F144">
        <v>1</v>
      </c>
      <c r="G144">
        <v>16</v>
      </c>
    </row>
    <row r="145" spans="1:7" x14ac:dyDescent="0.25">
      <c r="A145">
        <v>9188</v>
      </c>
      <c r="B145" t="s">
        <v>575</v>
      </c>
      <c r="C145" t="s">
        <v>635</v>
      </c>
      <c r="D145" t="s">
        <v>215</v>
      </c>
      <c r="E145" t="s">
        <v>15</v>
      </c>
      <c r="F145">
        <v>1</v>
      </c>
      <c r="G145">
        <v>13</v>
      </c>
    </row>
    <row r="146" spans="1:7" x14ac:dyDescent="0.25">
      <c r="A146">
        <v>2736</v>
      </c>
      <c r="B146" t="s">
        <v>62</v>
      </c>
      <c r="C146" t="s">
        <v>635</v>
      </c>
      <c r="D146" t="s">
        <v>215</v>
      </c>
      <c r="E146" t="s">
        <v>15</v>
      </c>
      <c r="F146">
        <v>1</v>
      </c>
      <c r="G146">
        <v>44</v>
      </c>
    </row>
    <row r="147" spans="1:7" x14ac:dyDescent="0.25">
      <c r="A147">
        <v>9201</v>
      </c>
      <c r="B147" t="s">
        <v>579</v>
      </c>
      <c r="C147" t="s">
        <v>635</v>
      </c>
      <c r="D147" t="s">
        <v>215</v>
      </c>
      <c r="E147" t="s">
        <v>15</v>
      </c>
      <c r="F147">
        <v>1</v>
      </c>
      <c r="G147">
        <v>16</v>
      </c>
    </row>
    <row r="148" spans="1:7" x14ac:dyDescent="0.25">
      <c r="A148">
        <v>2736</v>
      </c>
      <c r="B148" t="s">
        <v>62</v>
      </c>
      <c r="C148" t="s">
        <v>636</v>
      </c>
      <c r="D148" t="s">
        <v>210</v>
      </c>
      <c r="E148" t="s">
        <v>15</v>
      </c>
      <c r="F148">
        <v>2</v>
      </c>
      <c r="G148">
        <v>155</v>
      </c>
    </row>
    <row r="149" spans="1:7" x14ac:dyDescent="0.25">
      <c r="A149">
        <v>2289</v>
      </c>
      <c r="B149" t="s">
        <v>578</v>
      </c>
      <c r="C149" t="s">
        <v>636</v>
      </c>
      <c r="D149" t="s">
        <v>210</v>
      </c>
      <c r="E149" t="s">
        <v>7</v>
      </c>
      <c r="F149">
        <v>2</v>
      </c>
      <c r="G149">
        <v>39</v>
      </c>
    </row>
    <row r="150" spans="1:7" x14ac:dyDescent="0.25">
      <c r="A150">
        <v>9053</v>
      </c>
      <c r="B150" t="s">
        <v>576</v>
      </c>
      <c r="C150" t="s">
        <v>637</v>
      </c>
      <c r="D150" t="s">
        <v>223</v>
      </c>
      <c r="E150" t="s">
        <v>45</v>
      </c>
      <c r="F150">
        <v>2</v>
      </c>
      <c r="G150">
        <v>155</v>
      </c>
    </row>
    <row r="151" spans="1:7" x14ac:dyDescent="0.25">
      <c r="A151">
        <v>9188</v>
      </c>
      <c r="B151" t="s">
        <v>575</v>
      </c>
      <c r="C151" t="s">
        <v>638</v>
      </c>
      <c r="D151" t="s">
        <v>222</v>
      </c>
      <c r="E151" t="s">
        <v>15</v>
      </c>
      <c r="F151">
        <v>1</v>
      </c>
      <c r="G151">
        <v>84</v>
      </c>
    </row>
    <row r="152" spans="1:7" x14ac:dyDescent="0.25">
      <c r="A152">
        <v>9188</v>
      </c>
      <c r="B152" t="s">
        <v>575</v>
      </c>
      <c r="C152" t="s">
        <v>639</v>
      </c>
      <c r="D152" t="s">
        <v>245</v>
      </c>
      <c r="E152" t="s">
        <v>15</v>
      </c>
      <c r="F152">
        <v>2</v>
      </c>
      <c r="G152">
        <v>90</v>
      </c>
    </row>
    <row r="153" spans="1:7" x14ac:dyDescent="0.25">
      <c r="A153">
        <v>9235</v>
      </c>
      <c r="B153" t="s">
        <v>640</v>
      </c>
      <c r="C153" t="s">
        <v>639</v>
      </c>
      <c r="D153" t="s">
        <v>245</v>
      </c>
      <c r="E153" t="s">
        <v>15</v>
      </c>
      <c r="F153">
        <v>2</v>
      </c>
      <c r="G153">
        <v>25</v>
      </c>
    </row>
    <row r="154" spans="1:7" x14ac:dyDescent="0.25">
      <c r="A154">
        <v>9201</v>
      </c>
      <c r="B154" t="s">
        <v>579</v>
      </c>
      <c r="C154" t="s">
        <v>641</v>
      </c>
      <c r="D154" t="s">
        <v>235</v>
      </c>
      <c r="E154" t="s">
        <v>15</v>
      </c>
      <c r="F154">
        <v>2</v>
      </c>
      <c r="G154">
        <v>40</v>
      </c>
    </row>
    <row r="155" spans="1:7" x14ac:dyDescent="0.25">
      <c r="A155">
        <v>2283</v>
      </c>
      <c r="B155" t="s">
        <v>582</v>
      </c>
      <c r="C155" t="s">
        <v>641</v>
      </c>
      <c r="D155" t="s">
        <v>235</v>
      </c>
      <c r="E155" t="s">
        <v>7</v>
      </c>
      <c r="F155">
        <v>2</v>
      </c>
      <c r="G155">
        <v>36</v>
      </c>
    </row>
    <row r="156" spans="1:7" x14ac:dyDescent="0.25">
      <c r="A156">
        <v>2736</v>
      </c>
      <c r="B156" t="s">
        <v>62</v>
      </c>
      <c r="C156" t="s">
        <v>641</v>
      </c>
      <c r="D156" t="s">
        <v>235</v>
      </c>
      <c r="E156" t="s">
        <v>15</v>
      </c>
      <c r="F156">
        <v>2</v>
      </c>
      <c r="G156">
        <v>68</v>
      </c>
    </row>
    <row r="157" spans="1:7" x14ac:dyDescent="0.25">
      <c r="A157">
        <v>9214</v>
      </c>
      <c r="B157" t="s">
        <v>247</v>
      </c>
      <c r="C157" t="s">
        <v>641</v>
      </c>
      <c r="D157" t="s">
        <v>235</v>
      </c>
      <c r="E157" t="s">
        <v>15</v>
      </c>
      <c r="F157">
        <v>2</v>
      </c>
      <c r="G157">
        <v>10</v>
      </c>
    </row>
    <row r="158" spans="1:7" x14ac:dyDescent="0.25">
      <c r="A158">
        <v>9238</v>
      </c>
      <c r="B158" t="s">
        <v>642</v>
      </c>
      <c r="C158" t="s">
        <v>641</v>
      </c>
      <c r="D158" t="s">
        <v>235</v>
      </c>
      <c r="E158" t="s">
        <v>15</v>
      </c>
      <c r="F158">
        <v>2</v>
      </c>
      <c r="G158">
        <v>6</v>
      </c>
    </row>
    <row r="159" spans="1:7" x14ac:dyDescent="0.25">
      <c r="A159">
        <v>2289</v>
      </c>
      <c r="B159" t="s">
        <v>578</v>
      </c>
      <c r="C159" t="s">
        <v>643</v>
      </c>
      <c r="D159" t="s">
        <v>234</v>
      </c>
      <c r="E159" t="s">
        <v>7</v>
      </c>
      <c r="F159">
        <v>2</v>
      </c>
      <c r="G159">
        <v>24</v>
      </c>
    </row>
    <row r="160" spans="1:7" x14ac:dyDescent="0.25">
      <c r="A160">
        <v>2283</v>
      </c>
      <c r="B160" t="s">
        <v>582</v>
      </c>
      <c r="C160" t="s">
        <v>643</v>
      </c>
      <c r="D160" t="s">
        <v>234</v>
      </c>
      <c r="E160" t="s">
        <v>7</v>
      </c>
      <c r="F160">
        <v>2</v>
      </c>
      <c r="G160">
        <v>20</v>
      </c>
    </row>
    <row r="161" spans="1:7" x14ac:dyDescent="0.25">
      <c r="A161">
        <v>2736</v>
      </c>
      <c r="B161" t="s">
        <v>62</v>
      </c>
      <c r="C161" t="s">
        <v>643</v>
      </c>
      <c r="D161" t="s">
        <v>234</v>
      </c>
      <c r="E161" t="s">
        <v>15</v>
      </c>
      <c r="F161">
        <v>2</v>
      </c>
      <c r="G161">
        <v>100</v>
      </c>
    </row>
    <row r="162" spans="1:7" x14ac:dyDescent="0.25">
      <c r="A162">
        <v>2553</v>
      </c>
      <c r="B162" t="s">
        <v>589</v>
      </c>
      <c r="C162" t="s">
        <v>643</v>
      </c>
      <c r="D162" t="s">
        <v>234</v>
      </c>
      <c r="E162" t="s">
        <v>7</v>
      </c>
      <c r="F162">
        <v>2</v>
      </c>
      <c r="G162">
        <v>8</v>
      </c>
    </row>
    <row r="163" spans="1:7" x14ac:dyDescent="0.25">
      <c r="A163">
        <v>9238</v>
      </c>
      <c r="B163" t="s">
        <v>642</v>
      </c>
      <c r="C163" t="s">
        <v>643</v>
      </c>
      <c r="D163" t="s">
        <v>234</v>
      </c>
      <c r="E163" t="s">
        <v>15</v>
      </c>
      <c r="F163">
        <v>2</v>
      </c>
      <c r="G163">
        <v>3</v>
      </c>
    </row>
    <row r="164" spans="1:7" x14ac:dyDescent="0.25">
      <c r="A164">
        <v>9229</v>
      </c>
      <c r="B164" t="s">
        <v>194</v>
      </c>
      <c r="C164" t="s">
        <v>643</v>
      </c>
      <c r="D164" t="s">
        <v>234</v>
      </c>
      <c r="E164" t="s">
        <v>15</v>
      </c>
      <c r="F164">
        <v>2</v>
      </c>
      <c r="G164">
        <v>3</v>
      </c>
    </row>
    <row r="165" spans="1:7" x14ac:dyDescent="0.25">
      <c r="A165">
        <v>2737</v>
      </c>
      <c r="B165" t="s">
        <v>630</v>
      </c>
      <c r="C165" t="s">
        <v>644</v>
      </c>
      <c r="D165" t="s">
        <v>239</v>
      </c>
      <c r="E165" t="s">
        <v>15</v>
      </c>
      <c r="F165">
        <v>2</v>
      </c>
      <c r="G165">
        <v>32</v>
      </c>
    </row>
    <row r="166" spans="1:7" x14ac:dyDescent="0.25">
      <c r="A166">
        <v>9053</v>
      </c>
      <c r="B166" t="s">
        <v>576</v>
      </c>
      <c r="C166" t="s">
        <v>644</v>
      </c>
      <c r="D166" t="s">
        <v>239</v>
      </c>
      <c r="E166" t="s">
        <v>45</v>
      </c>
      <c r="F166">
        <v>2</v>
      </c>
      <c r="G166">
        <v>95</v>
      </c>
    </row>
    <row r="167" spans="1:7" x14ac:dyDescent="0.25">
      <c r="A167">
        <v>9237</v>
      </c>
      <c r="B167" t="s">
        <v>633</v>
      </c>
      <c r="C167" t="s">
        <v>644</v>
      </c>
      <c r="D167" t="s">
        <v>239</v>
      </c>
      <c r="E167" t="s">
        <v>15</v>
      </c>
      <c r="F167">
        <v>2</v>
      </c>
      <c r="G167">
        <v>8</v>
      </c>
    </row>
    <row r="168" spans="1:7" x14ac:dyDescent="0.25">
      <c r="A168">
        <v>2738</v>
      </c>
      <c r="B168" t="s">
        <v>438</v>
      </c>
      <c r="C168" t="s">
        <v>452</v>
      </c>
      <c r="D168" t="s">
        <v>238</v>
      </c>
      <c r="E168" t="s">
        <v>15</v>
      </c>
      <c r="F168">
        <v>2</v>
      </c>
      <c r="G168">
        <v>141</v>
      </c>
    </row>
    <row r="169" spans="1:7" x14ac:dyDescent="0.25">
      <c r="A169">
        <v>2553</v>
      </c>
      <c r="B169" t="s">
        <v>589</v>
      </c>
      <c r="C169" t="s">
        <v>452</v>
      </c>
      <c r="D169" t="s">
        <v>238</v>
      </c>
      <c r="E169" t="s">
        <v>7</v>
      </c>
      <c r="F169">
        <v>2</v>
      </c>
      <c r="G169">
        <v>10</v>
      </c>
    </row>
    <row r="170" spans="1:7" x14ac:dyDescent="0.25">
      <c r="A170">
        <v>9229</v>
      </c>
      <c r="B170" t="s">
        <v>194</v>
      </c>
      <c r="C170" t="s">
        <v>452</v>
      </c>
      <c r="D170" t="s">
        <v>238</v>
      </c>
      <c r="E170" t="s">
        <v>15</v>
      </c>
      <c r="F170">
        <v>2</v>
      </c>
      <c r="G170">
        <v>6</v>
      </c>
    </row>
    <row r="171" spans="1:7" x14ac:dyDescent="0.25">
      <c r="A171">
        <v>2285</v>
      </c>
      <c r="B171" t="s">
        <v>580</v>
      </c>
      <c r="C171" t="s">
        <v>645</v>
      </c>
      <c r="D171" t="s">
        <v>236</v>
      </c>
      <c r="E171" t="s">
        <v>7</v>
      </c>
      <c r="F171">
        <v>2</v>
      </c>
      <c r="G171">
        <v>18</v>
      </c>
    </row>
    <row r="172" spans="1:7" x14ac:dyDescent="0.25">
      <c r="A172">
        <v>2543</v>
      </c>
      <c r="B172" t="s">
        <v>588</v>
      </c>
      <c r="C172" t="s">
        <v>645</v>
      </c>
      <c r="D172" t="s">
        <v>236</v>
      </c>
      <c r="E172" t="s">
        <v>7</v>
      </c>
      <c r="F172">
        <v>2</v>
      </c>
      <c r="G172">
        <v>20</v>
      </c>
    </row>
    <row r="173" spans="1:7" x14ac:dyDescent="0.25">
      <c r="A173">
        <v>9188</v>
      </c>
      <c r="B173" t="s">
        <v>575</v>
      </c>
      <c r="C173" t="s">
        <v>645</v>
      </c>
      <c r="D173" t="s">
        <v>236</v>
      </c>
      <c r="E173" t="s">
        <v>15</v>
      </c>
      <c r="F173">
        <v>2</v>
      </c>
      <c r="G173">
        <v>50</v>
      </c>
    </row>
    <row r="174" spans="1:7" x14ac:dyDescent="0.25">
      <c r="A174">
        <v>2283</v>
      </c>
      <c r="B174" t="s">
        <v>582</v>
      </c>
      <c r="C174" t="s">
        <v>646</v>
      </c>
      <c r="D174" t="s">
        <v>233</v>
      </c>
      <c r="E174" t="s">
        <v>7</v>
      </c>
      <c r="F174">
        <v>2</v>
      </c>
      <c r="G174">
        <v>15</v>
      </c>
    </row>
    <row r="175" spans="1:7" x14ac:dyDescent="0.25">
      <c r="A175">
        <v>2289</v>
      </c>
      <c r="B175" t="s">
        <v>578</v>
      </c>
      <c r="C175" t="s">
        <v>646</v>
      </c>
      <c r="D175" t="s">
        <v>233</v>
      </c>
      <c r="E175" t="s">
        <v>7</v>
      </c>
      <c r="F175">
        <v>2</v>
      </c>
      <c r="G175">
        <v>25</v>
      </c>
    </row>
    <row r="176" spans="1:7" x14ac:dyDescent="0.25">
      <c r="A176">
        <v>9053</v>
      </c>
      <c r="B176" t="s">
        <v>576</v>
      </c>
      <c r="C176" t="s">
        <v>646</v>
      </c>
      <c r="D176" t="s">
        <v>233</v>
      </c>
      <c r="E176" t="s">
        <v>45</v>
      </c>
      <c r="F176">
        <v>2</v>
      </c>
      <c r="G176">
        <v>60</v>
      </c>
    </row>
    <row r="177" spans="1:7" x14ac:dyDescent="0.25">
      <c r="A177">
        <v>9237</v>
      </c>
      <c r="B177" t="s">
        <v>633</v>
      </c>
      <c r="C177" t="s">
        <v>646</v>
      </c>
      <c r="D177" t="s">
        <v>233</v>
      </c>
      <c r="E177" t="s">
        <v>15</v>
      </c>
      <c r="F177">
        <v>2</v>
      </c>
      <c r="G177">
        <v>12</v>
      </c>
    </row>
    <row r="178" spans="1:7" x14ac:dyDescent="0.25">
      <c r="A178">
        <v>9229</v>
      </c>
      <c r="B178" t="s">
        <v>194</v>
      </c>
      <c r="C178" t="s">
        <v>646</v>
      </c>
      <c r="D178" t="s">
        <v>233</v>
      </c>
      <c r="E178" t="s">
        <v>15</v>
      </c>
      <c r="F178">
        <v>2</v>
      </c>
      <c r="G178">
        <v>5</v>
      </c>
    </row>
    <row r="179" spans="1:7" x14ac:dyDescent="0.25">
      <c r="A179">
        <v>9213</v>
      </c>
      <c r="B179" t="s">
        <v>596</v>
      </c>
      <c r="C179" t="s">
        <v>646</v>
      </c>
      <c r="D179" t="s">
        <v>233</v>
      </c>
      <c r="E179" t="s">
        <v>15</v>
      </c>
      <c r="F179">
        <v>2</v>
      </c>
      <c r="G179">
        <v>4</v>
      </c>
    </row>
    <row r="180" spans="1:7" x14ac:dyDescent="0.25">
      <c r="A180">
        <v>9188</v>
      </c>
      <c r="B180" t="s">
        <v>575</v>
      </c>
      <c r="C180" t="s">
        <v>453</v>
      </c>
      <c r="D180" t="s">
        <v>240</v>
      </c>
      <c r="E180" t="s">
        <v>15</v>
      </c>
      <c r="F180">
        <v>2</v>
      </c>
      <c r="G180">
        <v>93</v>
      </c>
    </row>
    <row r="181" spans="1:7" x14ac:dyDescent="0.25">
      <c r="A181">
        <v>2738</v>
      </c>
      <c r="B181" t="s">
        <v>438</v>
      </c>
      <c r="C181" t="s">
        <v>453</v>
      </c>
      <c r="D181" t="s">
        <v>240</v>
      </c>
      <c r="E181" t="s">
        <v>15</v>
      </c>
      <c r="F181">
        <v>2</v>
      </c>
      <c r="G181">
        <v>30</v>
      </c>
    </row>
    <row r="182" spans="1:7" x14ac:dyDescent="0.25">
      <c r="A182">
        <v>9238</v>
      </c>
      <c r="B182" t="s">
        <v>642</v>
      </c>
      <c r="C182" t="s">
        <v>453</v>
      </c>
      <c r="D182" t="s">
        <v>240</v>
      </c>
      <c r="E182" t="s">
        <v>15</v>
      </c>
      <c r="F182">
        <v>2</v>
      </c>
      <c r="G182">
        <v>3</v>
      </c>
    </row>
    <row r="183" spans="1:7" x14ac:dyDescent="0.25">
      <c r="A183">
        <v>9229</v>
      </c>
      <c r="B183" t="s">
        <v>194</v>
      </c>
      <c r="C183" t="s">
        <v>453</v>
      </c>
      <c r="D183" t="s">
        <v>240</v>
      </c>
      <c r="E183" t="s">
        <v>15</v>
      </c>
      <c r="F183">
        <v>2</v>
      </c>
      <c r="G183">
        <v>4</v>
      </c>
    </row>
    <row r="184" spans="1:7" x14ac:dyDescent="0.25">
      <c r="A184">
        <v>9034</v>
      </c>
      <c r="B184" t="s">
        <v>605</v>
      </c>
      <c r="C184" t="s">
        <v>647</v>
      </c>
      <c r="D184" t="s">
        <v>246</v>
      </c>
      <c r="E184" t="s">
        <v>15</v>
      </c>
      <c r="F184">
        <v>1</v>
      </c>
      <c r="G184">
        <v>99</v>
      </c>
    </row>
    <row r="185" spans="1:7" x14ac:dyDescent="0.25">
      <c r="A185">
        <v>9034</v>
      </c>
      <c r="B185" t="s">
        <v>605</v>
      </c>
      <c r="C185" t="s">
        <v>648</v>
      </c>
      <c r="D185" t="s">
        <v>244</v>
      </c>
      <c r="E185" t="s">
        <v>15</v>
      </c>
      <c r="F185">
        <v>1</v>
      </c>
      <c r="G185">
        <v>87</v>
      </c>
    </row>
    <row r="186" spans="1:7" x14ac:dyDescent="0.25">
      <c r="A186">
        <v>2283</v>
      </c>
      <c r="B186" t="s">
        <v>582</v>
      </c>
      <c r="C186" t="s">
        <v>649</v>
      </c>
      <c r="D186" t="s">
        <v>232</v>
      </c>
      <c r="E186" t="s">
        <v>7</v>
      </c>
      <c r="F186">
        <v>1</v>
      </c>
      <c r="G186">
        <v>70</v>
      </c>
    </row>
    <row r="187" spans="1:7" x14ac:dyDescent="0.25">
      <c r="A187">
        <v>9053</v>
      </c>
      <c r="B187" t="s">
        <v>576</v>
      </c>
      <c r="C187" t="s">
        <v>649</v>
      </c>
      <c r="D187" t="s">
        <v>232</v>
      </c>
      <c r="E187" t="s">
        <v>45</v>
      </c>
      <c r="F187">
        <v>1</v>
      </c>
      <c r="G187">
        <v>76</v>
      </c>
    </row>
    <row r="188" spans="1:7" x14ac:dyDescent="0.25">
      <c r="A188">
        <v>9229</v>
      </c>
      <c r="B188" t="s">
        <v>194</v>
      </c>
      <c r="C188" t="s">
        <v>649</v>
      </c>
      <c r="D188" t="s">
        <v>232</v>
      </c>
      <c r="E188" t="s">
        <v>15</v>
      </c>
      <c r="F188">
        <v>1</v>
      </c>
      <c r="G188">
        <v>7</v>
      </c>
    </row>
    <row r="189" spans="1:7" x14ac:dyDescent="0.25">
      <c r="A189">
        <v>4808</v>
      </c>
      <c r="B189" t="s">
        <v>651</v>
      </c>
      <c r="C189" t="s">
        <v>650</v>
      </c>
      <c r="D189" t="s">
        <v>237</v>
      </c>
      <c r="E189" t="s">
        <v>25</v>
      </c>
      <c r="F189">
        <v>1</v>
      </c>
      <c r="G189">
        <v>12</v>
      </c>
    </row>
    <row r="190" spans="1:7" x14ac:dyDescent="0.25">
      <c r="A190">
        <v>2543</v>
      </c>
      <c r="B190" t="s">
        <v>588</v>
      </c>
      <c r="C190" t="s">
        <v>650</v>
      </c>
      <c r="D190" t="s">
        <v>237</v>
      </c>
      <c r="E190" t="s">
        <v>7</v>
      </c>
      <c r="F190">
        <v>1</v>
      </c>
      <c r="G190">
        <v>12</v>
      </c>
    </row>
    <row r="191" spans="1:7" x14ac:dyDescent="0.25">
      <c r="A191">
        <v>9213</v>
      </c>
      <c r="B191" t="s">
        <v>596</v>
      </c>
      <c r="C191" t="s">
        <v>650</v>
      </c>
      <c r="D191" t="s">
        <v>237</v>
      </c>
      <c r="E191" t="s">
        <v>15</v>
      </c>
      <c r="F191">
        <v>1</v>
      </c>
      <c r="G191">
        <v>52</v>
      </c>
    </row>
    <row r="192" spans="1:7" x14ac:dyDescent="0.25">
      <c r="A192">
        <v>9188</v>
      </c>
      <c r="B192" t="s">
        <v>575</v>
      </c>
      <c r="C192" t="s">
        <v>650</v>
      </c>
      <c r="D192" t="s">
        <v>237</v>
      </c>
      <c r="E192" t="s">
        <v>15</v>
      </c>
      <c r="F192">
        <v>1</v>
      </c>
      <c r="G192">
        <v>55</v>
      </c>
    </row>
    <row r="193" spans="1:7" x14ac:dyDescent="0.25">
      <c r="A193">
        <v>2553</v>
      </c>
      <c r="B193" t="s">
        <v>589</v>
      </c>
      <c r="C193" t="s">
        <v>650</v>
      </c>
      <c r="D193" t="s">
        <v>237</v>
      </c>
      <c r="E193" t="s">
        <v>7</v>
      </c>
      <c r="F193">
        <v>1</v>
      </c>
      <c r="G193">
        <v>5</v>
      </c>
    </row>
    <row r="194" spans="1:7" x14ac:dyDescent="0.25">
      <c r="A194">
        <v>4855</v>
      </c>
      <c r="B194" t="s">
        <v>653</v>
      </c>
      <c r="C194" t="s">
        <v>652</v>
      </c>
      <c r="D194" t="s">
        <v>243</v>
      </c>
      <c r="E194" t="s">
        <v>25</v>
      </c>
      <c r="F194">
        <v>1</v>
      </c>
      <c r="G194">
        <v>14</v>
      </c>
    </row>
    <row r="195" spans="1:7" x14ac:dyDescent="0.25">
      <c r="A195">
        <v>9213</v>
      </c>
      <c r="B195" t="s">
        <v>596</v>
      </c>
      <c r="C195" t="s">
        <v>652</v>
      </c>
      <c r="D195" t="s">
        <v>243</v>
      </c>
      <c r="E195" t="s">
        <v>15</v>
      </c>
      <c r="F195">
        <v>1</v>
      </c>
      <c r="G195">
        <v>55</v>
      </c>
    </row>
    <row r="196" spans="1:7" x14ac:dyDescent="0.25">
      <c r="A196">
        <v>9188</v>
      </c>
      <c r="B196" t="s">
        <v>575</v>
      </c>
      <c r="C196" t="s">
        <v>652</v>
      </c>
      <c r="D196" t="s">
        <v>243</v>
      </c>
      <c r="E196" t="s">
        <v>15</v>
      </c>
      <c r="F196">
        <v>1</v>
      </c>
      <c r="G196">
        <v>56</v>
      </c>
    </row>
    <row r="197" spans="1:7" x14ac:dyDescent="0.25">
      <c r="A197">
        <v>9053</v>
      </c>
      <c r="B197" t="s">
        <v>576</v>
      </c>
      <c r="C197" t="s">
        <v>652</v>
      </c>
      <c r="D197" t="s">
        <v>243</v>
      </c>
      <c r="E197" t="s">
        <v>45</v>
      </c>
      <c r="F197">
        <v>1</v>
      </c>
      <c r="G197">
        <v>13</v>
      </c>
    </row>
    <row r="198" spans="1:7" x14ac:dyDescent="0.25">
      <c r="A198">
        <v>2283</v>
      </c>
      <c r="B198" t="s">
        <v>582</v>
      </c>
      <c r="C198" t="s">
        <v>454</v>
      </c>
      <c r="D198" t="s">
        <v>248</v>
      </c>
      <c r="E198" t="s">
        <v>7</v>
      </c>
      <c r="F198">
        <v>1</v>
      </c>
      <c r="G198">
        <v>40</v>
      </c>
    </row>
    <row r="199" spans="1:7" x14ac:dyDescent="0.25">
      <c r="A199">
        <v>2289</v>
      </c>
      <c r="B199" t="s">
        <v>578</v>
      </c>
      <c r="C199" t="s">
        <v>454</v>
      </c>
      <c r="D199" t="s">
        <v>248</v>
      </c>
      <c r="E199" t="s">
        <v>7</v>
      </c>
      <c r="F199">
        <v>1</v>
      </c>
      <c r="G199">
        <v>20</v>
      </c>
    </row>
    <row r="200" spans="1:7" x14ac:dyDescent="0.25">
      <c r="A200">
        <v>9214</v>
      </c>
      <c r="B200" t="s">
        <v>247</v>
      </c>
      <c r="C200" t="s">
        <v>454</v>
      </c>
      <c r="D200" t="s">
        <v>248</v>
      </c>
      <c r="E200" t="s">
        <v>15</v>
      </c>
      <c r="F200">
        <v>1</v>
      </c>
      <c r="G200">
        <v>20</v>
      </c>
    </row>
    <row r="201" spans="1:7" x14ac:dyDescent="0.25">
      <c r="A201">
        <v>9034</v>
      </c>
      <c r="B201" t="s">
        <v>605</v>
      </c>
      <c r="C201" t="s">
        <v>454</v>
      </c>
      <c r="D201" t="s">
        <v>248</v>
      </c>
      <c r="E201" t="s">
        <v>15</v>
      </c>
      <c r="F201">
        <v>1</v>
      </c>
      <c r="G201">
        <v>25</v>
      </c>
    </row>
    <row r="202" spans="1:7" x14ac:dyDescent="0.25">
      <c r="A202">
        <v>2738</v>
      </c>
      <c r="B202" t="s">
        <v>438</v>
      </c>
      <c r="C202" t="s">
        <v>454</v>
      </c>
      <c r="D202" t="s">
        <v>248</v>
      </c>
      <c r="E202" t="s">
        <v>15</v>
      </c>
      <c r="F202">
        <v>1</v>
      </c>
      <c r="G202">
        <v>20</v>
      </c>
    </row>
    <row r="203" spans="1:7" x14ac:dyDescent="0.25">
      <c r="A203">
        <v>9201</v>
      </c>
      <c r="B203" t="s">
        <v>579</v>
      </c>
      <c r="C203" t="s">
        <v>454</v>
      </c>
      <c r="D203" t="s">
        <v>248</v>
      </c>
      <c r="E203" t="s">
        <v>15</v>
      </c>
      <c r="F203">
        <v>1</v>
      </c>
      <c r="G203">
        <v>7</v>
      </c>
    </row>
    <row r="204" spans="1:7" x14ac:dyDescent="0.25">
      <c r="A204">
        <v>9053</v>
      </c>
      <c r="B204" t="s">
        <v>576</v>
      </c>
      <c r="C204" t="s">
        <v>654</v>
      </c>
      <c r="D204" t="s">
        <v>249</v>
      </c>
      <c r="E204" t="s">
        <v>45</v>
      </c>
      <c r="F204">
        <v>1</v>
      </c>
      <c r="G204">
        <v>43</v>
      </c>
    </row>
    <row r="205" spans="1:7" x14ac:dyDescent="0.25">
      <c r="A205">
        <v>2290</v>
      </c>
      <c r="B205" t="s">
        <v>594</v>
      </c>
      <c r="C205" t="s">
        <v>654</v>
      </c>
      <c r="D205" t="s">
        <v>249</v>
      </c>
      <c r="E205" t="s">
        <v>7</v>
      </c>
      <c r="F205">
        <v>1</v>
      </c>
      <c r="G205">
        <v>13</v>
      </c>
    </row>
    <row r="206" spans="1:7" x14ac:dyDescent="0.25">
      <c r="A206">
        <v>9213</v>
      </c>
      <c r="B206" t="s">
        <v>596</v>
      </c>
      <c r="C206" t="s">
        <v>654</v>
      </c>
      <c r="D206" t="s">
        <v>249</v>
      </c>
      <c r="E206" t="s">
        <v>15</v>
      </c>
      <c r="F206">
        <v>1</v>
      </c>
      <c r="G206">
        <v>38</v>
      </c>
    </row>
    <row r="207" spans="1:7" x14ac:dyDescent="0.25">
      <c r="A207">
        <v>9213</v>
      </c>
      <c r="B207" t="s">
        <v>596</v>
      </c>
      <c r="C207" t="s">
        <v>655</v>
      </c>
      <c r="D207" t="s">
        <v>250</v>
      </c>
      <c r="E207" t="s">
        <v>15</v>
      </c>
      <c r="F207">
        <v>1</v>
      </c>
      <c r="G207">
        <v>25</v>
      </c>
    </row>
    <row r="208" spans="1:7" x14ac:dyDescent="0.25">
      <c r="A208">
        <v>9053</v>
      </c>
      <c r="B208" t="s">
        <v>576</v>
      </c>
      <c r="C208" t="s">
        <v>655</v>
      </c>
      <c r="D208" t="s">
        <v>250</v>
      </c>
      <c r="E208" t="s">
        <v>45</v>
      </c>
      <c r="F208">
        <v>1</v>
      </c>
      <c r="G208">
        <v>24</v>
      </c>
    </row>
    <row r="209" spans="1:7" x14ac:dyDescent="0.25">
      <c r="A209">
        <v>9034</v>
      </c>
      <c r="B209" t="s">
        <v>605</v>
      </c>
      <c r="C209" t="s">
        <v>655</v>
      </c>
      <c r="D209" t="s">
        <v>250</v>
      </c>
      <c r="E209" t="s">
        <v>15</v>
      </c>
      <c r="F209">
        <v>1</v>
      </c>
      <c r="G209">
        <v>85</v>
      </c>
    </row>
    <row r="210" spans="1:7" x14ac:dyDescent="0.25">
      <c r="A210">
        <v>2736</v>
      </c>
      <c r="B210" t="s">
        <v>62</v>
      </c>
      <c r="C210" t="s">
        <v>656</v>
      </c>
      <c r="D210" t="s">
        <v>255</v>
      </c>
      <c r="E210" t="s">
        <v>15</v>
      </c>
      <c r="F210">
        <v>1</v>
      </c>
      <c r="G210">
        <v>70</v>
      </c>
    </row>
    <row r="211" spans="1:7" x14ac:dyDescent="0.25">
      <c r="A211">
        <v>9064</v>
      </c>
      <c r="B211" t="s">
        <v>603</v>
      </c>
      <c r="C211" t="s">
        <v>656</v>
      </c>
      <c r="D211" t="s">
        <v>255</v>
      </c>
      <c r="E211" t="s">
        <v>15</v>
      </c>
      <c r="F211">
        <v>1</v>
      </c>
      <c r="G211">
        <v>60</v>
      </c>
    </row>
    <row r="212" spans="1:7" x14ac:dyDescent="0.25">
      <c r="A212">
        <v>9229</v>
      </c>
      <c r="B212" t="s">
        <v>194</v>
      </c>
      <c r="C212" t="s">
        <v>656</v>
      </c>
      <c r="D212" t="s">
        <v>255</v>
      </c>
      <c r="E212" t="s">
        <v>15</v>
      </c>
      <c r="F212">
        <v>1</v>
      </c>
      <c r="G212">
        <v>45</v>
      </c>
    </row>
    <row r="213" spans="1:7" x14ac:dyDescent="0.25">
      <c r="A213">
        <v>2289</v>
      </c>
      <c r="B213" t="s">
        <v>578</v>
      </c>
      <c r="C213" t="s">
        <v>657</v>
      </c>
      <c r="D213" t="s">
        <v>254</v>
      </c>
      <c r="E213" t="s">
        <v>7</v>
      </c>
      <c r="F213">
        <v>1</v>
      </c>
      <c r="G213">
        <v>30</v>
      </c>
    </row>
    <row r="214" spans="1:7" x14ac:dyDescent="0.25">
      <c r="A214">
        <v>2543</v>
      </c>
      <c r="B214" t="s">
        <v>588</v>
      </c>
      <c r="C214" t="s">
        <v>657</v>
      </c>
      <c r="D214" t="s">
        <v>254</v>
      </c>
      <c r="E214" t="s">
        <v>7</v>
      </c>
      <c r="F214">
        <v>1</v>
      </c>
      <c r="G214">
        <v>11</v>
      </c>
    </row>
    <row r="215" spans="1:7" x14ac:dyDescent="0.25">
      <c r="A215">
        <v>9064</v>
      </c>
      <c r="B215" t="s">
        <v>603</v>
      </c>
      <c r="C215" t="s">
        <v>657</v>
      </c>
      <c r="D215" t="s">
        <v>254</v>
      </c>
      <c r="E215" t="s">
        <v>15</v>
      </c>
      <c r="F215">
        <v>1</v>
      </c>
      <c r="G215">
        <v>123</v>
      </c>
    </row>
    <row r="216" spans="1:7" x14ac:dyDescent="0.25">
      <c r="A216">
        <v>2289</v>
      </c>
      <c r="B216" t="s">
        <v>578</v>
      </c>
      <c r="C216" t="s">
        <v>455</v>
      </c>
      <c r="D216" t="s">
        <v>253</v>
      </c>
      <c r="E216" t="s">
        <v>7</v>
      </c>
      <c r="F216">
        <v>1</v>
      </c>
      <c r="G216">
        <v>30</v>
      </c>
    </row>
    <row r="217" spans="1:7" x14ac:dyDescent="0.25">
      <c r="A217">
        <v>9064</v>
      </c>
      <c r="B217" t="s">
        <v>603</v>
      </c>
      <c r="C217" t="s">
        <v>455</v>
      </c>
      <c r="D217" t="s">
        <v>253</v>
      </c>
      <c r="E217" t="s">
        <v>15</v>
      </c>
      <c r="F217">
        <v>1</v>
      </c>
      <c r="G217">
        <v>115</v>
      </c>
    </row>
    <row r="218" spans="1:7" x14ac:dyDescent="0.25">
      <c r="A218">
        <v>2738</v>
      </c>
      <c r="B218" t="s">
        <v>438</v>
      </c>
      <c r="C218" t="s">
        <v>455</v>
      </c>
      <c r="D218" t="s">
        <v>253</v>
      </c>
      <c r="E218" t="s">
        <v>15</v>
      </c>
      <c r="F218">
        <v>1</v>
      </c>
      <c r="G218">
        <v>20</v>
      </c>
    </row>
    <row r="219" spans="1:7" x14ac:dyDescent="0.25">
      <c r="A219">
        <v>2283</v>
      </c>
      <c r="B219" t="s">
        <v>582</v>
      </c>
      <c r="C219" t="s">
        <v>658</v>
      </c>
      <c r="D219" t="s">
        <v>252</v>
      </c>
      <c r="E219" t="s">
        <v>7</v>
      </c>
      <c r="F219">
        <v>1</v>
      </c>
      <c r="G219">
        <v>35</v>
      </c>
    </row>
    <row r="220" spans="1:7" x14ac:dyDescent="0.25">
      <c r="A220">
        <v>9053</v>
      </c>
      <c r="B220" t="s">
        <v>576</v>
      </c>
      <c r="C220" t="s">
        <v>658</v>
      </c>
      <c r="D220" t="s">
        <v>252</v>
      </c>
      <c r="E220" t="s">
        <v>45</v>
      </c>
      <c r="F220">
        <v>1</v>
      </c>
      <c r="G220">
        <v>135</v>
      </c>
    </row>
    <row r="221" spans="1:7" x14ac:dyDescent="0.25">
      <c r="A221">
        <v>9188</v>
      </c>
      <c r="B221" t="s">
        <v>575</v>
      </c>
      <c r="C221" t="s">
        <v>456</v>
      </c>
      <c r="D221" t="s">
        <v>256</v>
      </c>
      <c r="E221" t="s">
        <v>15</v>
      </c>
      <c r="F221">
        <v>1</v>
      </c>
      <c r="G221">
        <v>85</v>
      </c>
    </row>
    <row r="222" spans="1:7" x14ac:dyDescent="0.25">
      <c r="A222">
        <v>9237</v>
      </c>
      <c r="B222" t="s">
        <v>633</v>
      </c>
      <c r="C222" t="s">
        <v>456</v>
      </c>
      <c r="D222" t="s">
        <v>256</v>
      </c>
      <c r="E222" t="s">
        <v>15</v>
      </c>
      <c r="F222">
        <v>1</v>
      </c>
      <c r="G222">
        <v>10</v>
      </c>
    </row>
    <row r="223" spans="1:7" x14ac:dyDescent="0.25">
      <c r="A223">
        <v>2738</v>
      </c>
      <c r="B223" t="s">
        <v>438</v>
      </c>
      <c r="C223" t="s">
        <v>456</v>
      </c>
      <c r="D223" t="s">
        <v>256</v>
      </c>
      <c r="E223" t="s">
        <v>15</v>
      </c>
      <c r="F223">
        <v>1</v>
      </c>
      <c r="G223">
        <v>55</v>
      </c>
    </row>
    <row r="224" spans="1:7" x14ac:dyDescent="0.25">
      <c r="A224">
        <v>9237</v>
      </c>
      <c r="B224" t="s">
        <v>633</v>
      </c>
      <c r="C224" t="s">
        <v>659</v>
      </c>
      <c r="D224" t="s">
        <v>260</v>
      </c>
      <c r="E224" t="s">
        <v>15</v>
      </c>
      <c r="F224">
        <v>2</v>
      </c>
      <c r="G224">
        <v>15</v>
      </c>
    </row>
    <row r="225" spans="1:7" x14ac:dyDescent="0.25">
      <c r="A225">
        <v>2736</v>
      </c>
      <c r="B225" t="s">
        <v>62</v>
      </c>
      <c r="C225" t="s">
        <v>659</v>
      </c>
      <c r="D225" t="s">
        <v>260</v>
      </c>
      <c r="E225" t="s">
        <v>15</v>
      </c>
      <c r="F225">
        <v>2</v>
      </c>
      <c r="G225">
        <v>134</v>
      </c>
    </row>
    <row r="226" spans="1:7" x14ac:dyDescent="0.25">
      <c r="A226">
        <v>2735</v>
      </c>
      <c r="B226" t="s">
        <v>631</v>
      </c>
      <c r="C226" t="s">
        <v>659</v>
      </c>
      <c r="D226" t="s">
        <v>260</v>
      </c>
      <c r="E226" t="s">
        <v>15</v>
      </c>
      <c r="F226">
        <v>2</v>
      </c>
      <c r="G226">
        <v>9</v>
      </c>
    </row>
    <row r="227" spans="1:7" x14ac:dyDescent="0.25">
      <c r="A227">
        <v>2736</v>
      </c>
      <c r="B227" t="s">
        <v>62</v>
      </c>
      <c r="C227" t="s">
        <v>457</v>
      </c>
      <c r="D227" t="s">
        <v>261</v>
      </c>
      <c r="E227" t="s">
        <v>15</v>
      </c>
      <c r="F227">
        <v>1</v>
      </c>
      <c r="G227">
        <v>125</v>
      </c>
    </row>
    <row r="228" spans="1:7" x14ac:dyDescent="0.25">
      <c r="A228">
        <v>9036</v>
      </c>
      <c r="B228" t="s">
        <v>610</v>
      </c>
      <c r="C228" t="s">
        <v>457</v>
      </c>
      <c r="D228" t="s">
        <v>261</v>
      </c>
      <c r="E228" t="s">
        <v>15</v>
      </c>
      <c r="F228">
        <v>1</v>
      </c>
      <c r="G228">
        <v>12</v>
      </c>
    </row>
    <row r="229" spans="1:7" x14ac:dyDescent="0.25">
      <c r="A229">
        <v>9237</v>
      </c>
      <c r="B229" t="s">
        <v>633</v>
      </c>
      <c r="C229" t="s">
        <v>660</v>
      </c>
      <c r="D229">
        <v>140525</v>
      </c>
      <c r="E229" t="s">
        <v>15</v>
      </c>
      <c r="F229">
        <v>1</v>
      </c>
      <c r="G229">
        <v>16</v>
      </c>
    </row>
    <row r="230" spans="1:7" x14ac:dyDescent="0.25">
      <c r="A230">
        <v>9053</v>
      </c>
      <c r="B230" t="s">
        <v>576</v>
      </c>
      <c r="C230" t="s">
        <v>660</v>
      </c>
      <c r="D230" t="s">
        <v>265</v>
      </c>
      <c r="E230" t="s">
        <v>45</v>
      </c>
      <c r="F230">
        <v>1</v>
      </c>
      <c r="G230">
        <v>71</v>
      </c>
    </row>
    <row r="231" spans="1:7" x14ac:dyDescent="0.25">
      <c r="A231">
        <v>2738</v>
      </c>
      <c r="B231" t="s">
        <v>438</v>
      </c>
      <c r="C231" t="s">
        <v>457</v>
      </c>
      <c r="D231">
        <v>130525</v>
      </c>
      <c r="E231" t="s">
        <v>15</v>
      </c>
      <c r="F231">
        <v>1</v>
      </c>
      <c r="G231">
        <v>80</v>
      </c>
    </row>
    <row r="232" spans="1:7" x14ac:dyDescent="0.25">
      <c r="A232">
        <v>2736</v>
      </c>
      <c r="B232" t="s">
        <v>62</v>
      </c>
      <c r="C232" t="s">
        <v>458</v>
      </c>
      <c r="D232" t="s">
        <v>258</v>
      </c>
      <c r="E232" t="s">
        <v>15</v>
      </c>
      <c r="F232">
        <v>1</v>
      </c>
      <c r="G232">
        <v>18</v>
      </c>
    </row>
    <row r="233" spans="1:7" x14ac:dyDescent="0.25">
      <c r="A233">
        <v>2283</v>
      </c>
      <c r="B233" t="s">
        <v>582</v>
      </c>
      <c r="C233" t="s">
        <v>458</v>
      </c>
      <c r="D233" t="s">
        <v>258</v>
      </c>
      <c r="E233" t="s">
        <v>7</v>
      </c>
      <c r="F233">
        <v>1</v>
      </c>
      <c r="G233">
        <v>40</v>
      </c>
    </row>
    <row r="234" spans="1:7" x14ac:dyDescent="0.25">
      <c r="A234">
        <v>9053</v>
      </c>
      <c r="B234" t="s">
        <v>576</v>
      </c>
      <c r="C234" t="s">
        <v>458</v>
      </c>
      <c r="D234" t="s">
        <v>258</v>
      </c>
      <c r="E234" t="s">
        <v>45</v>
      </c>
      <c r="F234">
        <v>1</v>
      </c>
      <c r="G234">
        <v>55</v>
      </c>
    </row>
    <row r="235" spans="1:7" x14ac:dyDescent="0.25">
      <c r="A235">
        <v>2738</v>
      </c>
      <c r="B235" t="s">
        <v>438</v>
      </c>
      <c r="C235" t="s">
        <v>458</v>
      </c>
      <c r="D235" t="s">
        <v>258</v>
      </c>
      <c r="E235" t="s">
        <v>15</v>
      </c>
      <c r="F235">
        <v>1</v>
      </c>
      <c r="G235">
        <v>64</v>
      </c>
    </row>
    <row r="236" spans="1:7" x14ac:dyDescent="0.25">
      <c r="A236">
        <v>9053</v>
      </c>
      <c r="B236" t="s">
        <v>576</v>
      </c>
      <c r="C236" t="s">
        <v>459</v>
      </c>
      <c r="D236" t="s">
        <v>264</v>
      </c>
      <c r="E236" t="s">
        <v>45</v>
      </c>
      <c r="F236">
        <v>1</v>
      </c>
      <c r="G236">
        <v>82</v>
      </c>
    </row>
    <row r="237" spans="1:7" x14ac:dyDescent="0.25">
      <c r="A237">
        <v>2738</v>
      </c>
      <c r="B237" t="s">
        <v>438</v>
      </c>
      <c r="C237" t="s">
        <v>459</v>
      </c>
      <c r="D237" t="s">
        <v>264</v>
      </c>
      <c r="E237" t="s">
        <v>15</v>
      </c>
      <c r="F237">
        <v>1</v>
      </c>
      <c r="G237">
        <v>65</v>
      </c>
    </row>
    <row r="238" spans="1:7" x14ac:dyDescent="0.25">
      <c r="A238">
        <v>2738</v>
      </c>
      <c r="B238" t="s">
        <v>438</v>
      </c>
      <c r="C238" t="s">
        <v>460</v>
      </c>
      <c r="D238" t="s">
        <v>263</v>
      </c>
      <c r="E238" t="s">
        <v>15</v>
      </c>
      <c r="F238">
        <v>1</v>
      </c>
      <c r="G238">
        <v>75</v>
      </c>
    </row>
    <row r="239" spans="1:7" x14ac:dyDescent="0.25">
      <c r="A239">
        <v>9053</v>
      </c>
      <c r="B239" t="s">
        <v>576</v>
      </c>
      <c r="C239" t="s">
        <v>460</v>
      </c>
      <c r="D239" t="s">
        <v>263</v>
      </c>
      <c r="E239" t="s">
        <v>45</v>
      </c>
      <c r="F239">
        <v>1</v>
      </c>
      <c r="G239">
        <v>54</v>
      </c>
    </row>
    <row r="240" spans="1:7" x14ac:dyDescent="0.25">
      <c r="A240">
        <v>9053</v>
      </c>
      <c r="B240" t="s">
        <v>576</v>
      </c>
      <c r="C240" t="s">
        <v>461</v>
      </c>
      <c r="D240" t="s">
        <v>262</v>
      </c>
      <c r="E240" t="s">
        <v>45</v>
      </c>
      <c r="F240">
        <v>1</v>
      </c>
      <c r="G240">
        <v>33</v>
      </c>
    </row>
    <row r="241" spans="1:7" x14ac:dyDescent="0.25">
      <c r="A241">
        <v>9188</v>
      </c>
      <c r="B241" t="s">
        <v>575</v>
      </c>
      <c r="C241" t="s">
        <v>461</v>
      </c>
      <c r="D241" t="s">
        <v>262</v>
      </c>
      <c r="E241" t="s">
        <v>15</v>
      </c>
      <c r="F241">
        <v>1</v>
      </c>
      <c r="G241">
        <v>49</v>
      </c>
    </row>
    <row r="242" spans="1:7" x14ac:dyDescent="0.25">
      <c r="A242">
        <v>2738</v>
      </c>
      <c r="B242" t="s">
        <v>438</v>
      </c>
      <c r="C242" t="s">
        <v>461</v>
      </c>
      <c r="D242" t="s">
        <v>262</v>
      </c>
      <c r="E242" t="s">
        <v>15</v>
      </c>
      <c r="F242">
        <v>1</v>
      </c>
      <c r="G242">
        <v>60</v>
      </c>
    </row>
    <row r="243" spans="1:7" x14ac:dyDescent="0.25">
      <c r="A243">
        <v>9235</v>
      </c>
      <c r="B243" t="s">
        <v>640</v>
      </c>
      <c r="C243" t="s">
        <v>461</v>
      </c>
      <c r="D243" t="s">
        <v>262</v>
      </c>
      <c r="E243" t="s">
        <v>15</v>
      </c>
      <c r="F243">
        <v>1</v>
      </c>
      <c r="G243">
        <v>7</v>
      </c>
    </row>
    <row r="244" spans="1:7" x14ac:dyDescent="0.25">
      <c r="A244">
        <v>2738</v>
      </c>
      <c r="B244" t="s">
        <v>438</v>
      </c>
      <c r="C244" t="s">
        <v>462</v>
      </c>
      <c r="D244" t="s">
        <v>257</v>
      </c>
      <c r="E244" t="s">
        <v>15</v>
      </c>
      <c r="F244">
        <v>1</v>
      </c>
      <c r="G244">
        <v>56</v>
      </c>
    </row>
    <row r="245" spans="1:7" x14ac:dyDescent="0.25">
      <c r="A245">
        <v>2283</v>
      </c>
      <c r="B245" t="s">
        <v>582</v>
      </c>
      <c r="C245" t="s">
        <v>462</v>
      </c>
      <c r="D245" t="s">
        <v>257</v>
      </c>
      <c r="E245" t="s">
        <v>7</v>
      </c>
      <c r="F245">
        <v>1</v>
      </c>
      <c r="G245">
        <v>55</v>
      </c>
    </row>
    <row r="246" spans="1:7" x14ac:dyDescent="0.25">
      <c r="A246">
        <v>4808</v>
      </c>
      <c r="B246" t="s">
        <v>651</v>
      </c>
      <c r="C246" t="s">
        <v>462</v>
      </c>
      <c r="D246" t="s">
        <v>257</v>
      </c>
      <c r="E246" t="s">
        <v>25</v>
      </c>
      <c r="F246">
        <v>1</v>
      </c>
      <c r="G246">
        <v>36</v>
      </c>
    </row>
    <row r="247" spans="1:7" x14ac:dyDescent="0.25">
      <c r="A247">
        <v>4855</v>
      </c>
      <c r="B247" t="s">
        <v>653</v>
      </c>
      <c r="C247" t="s">
        <v>661</v>
      </c>
      <c r="D247" t="s">
        <v>259</v>
      </c>
      <c r="E247" t="s">
        <v>25</v>
      </c>
      <c r="F247">
        <v>1</v>
      </c>
      <c r="G247">
        <v>51</v>
      </c>
    </row>
    <row r="248" spans="1:7" x14ac:dyDescent="0.25">
      <c r="A248">
        <v>2736</v>
      </c>
      <c r="B248" t="s">
        <v>62</v>
      </c>
      <c r="C248" t="s">
        <v>661</v>
      </c>
      <c r="D248" t="s">
        <v>259</v>
      </c>
      <c r="E248" t="s">
        <v>15</v>
      </c>
      <c r="F248">
        <v>1</v>
      </c>
      <c r="G248">
        <v>90</v>
      </c>
    </row>
    <row r="249" spans="1:7" x14ac:dyDescent="0.25">
      <c r="A249">
        <v>2553</v>
      </c>
      <c r="B249" t="s">
        <v>589</v>
      </c>
      <c r="C249" t="s">
        <v>661</v>
      </c>
      <c r="D249" t="s">
        <v>259</v>
      </c>
      <c r="E249" t="s">
        <v>7</v>
      </c>
      <c r="F249">
        <v>1</v>
      </c>
      <c r="G249">
        <v>6</v>
      </c>
    </row>
    <row r="250" spans="1:7" x14ac:dyDescent="0.25">
      <c r="A250">
        <v>9214</v>
      </c>
      <c r="B250" t="s">
        <v>247</v>
      </c>
      <c r="C250" t="s">
        <v>662</v>
      </c>
      <c r="D250" t="s">
        <v>268</v>
      </c>
      <c r="E250" t="s">
        <v>15</v>
      </c>
      <c r="F250">
        <v>1</v>
      </c>
      <c r="G250">
        <v>42</v>
      </c>
    </row>
    <row r="251" spans="1:7" x14ac:dyDescent="0.25">
      <c r="A251">
        <v>9036</v>
      </c>
      <c r="B251" t="s">
        <v>610</v>
      </c>
      <c r="C251" t="s">
        <v>662</v>
      </c>
      <c r="D251" t="s">
        <v>268</v>
      </c>
      <c r="E251" t="s">
        <v>15</v>
      </c>
      <c r="F251">
        <v>1</v>
      </c>
      <c r="G251">
        <v>5</v>
      </c>
    </row>
    <row r="252" spans="1:7" x14ac:dyDescent="0.25">
      <c r="A252">
        <v>2736</v>
      </c>
      <c r="B252" t="s">
        <v>62</v>
      </c>
      <c r="C252" t="s">
        <v>662</v>
      </c>
      <c r="D252" t="s">
        <v>268</v>
      </c>
      <c r="E252" t="s">
        <v>15</v>
      </c>
      <c r="F252">
        <v>1</v>
      </c>
      <c r="G252">
        <v>97</v>
      </c>
    </row>
    <row r="253" spans="1:7" x14ac:dyDescent="0.25">
      <c r="A253">
        <v>2735</v>
      </c>
      <c r="B253" t="s">
        <v>631</v>
      </c>
      <c r="C253" t="s">
        <v>662</v>
      </c>
      <c r="D253" t="s">
        <v>268</v>
      </c>
      <c r="E253" t="s">
        <v>15</v>
      </c>
      <c r="F253">
        <v>1</v>
      </c>
      <c r="G253">
        <v>5</v>
      </c>
    </row>
    <row r="254" spans="1:7" x14ac:dyDescent="0.25">
      <c r="A254">
        <v>9201</v>
      </c>
      <c r="B254" t="s">
        <v>579</v>
      </c>
      <c r="C254" t="s">
        <v>662</v>
      </c>
      <c r="D254" t="s">
        <v>268</v>
      </c>
      <c r="E254" t="s">
        <v>15</v>
      </c>
      <c r="F254">
        <v>1</v>
      </c>
      <c r="G254">
        <v>23</v>
      </c>
    </row>
    <row r="255" spans="1:7" x14ac:dyDescent="0.25">
      <c r="A255">
        <v>2738</v>
      </c>
      <c r="B255" t="s">
        <v>438</v>
      </c>
      <c r="C255" t="s">
        <v>463</v>
      </c>
      <c r="D255" t="s">
        <v>271</v>
      </c>
      <c r="E255" t="s">
        <v>15</v>
      </c>
      <c r="F255">
        <v>1</v>
      </c>
      <c r="G255">
        <v>83</v>
      </c>
    </row>
    <row r="256" spans="1:7" x14ac:dyDescent="0.25">
      <c r="A256">
        <v>9053</v>
      </c>
      <c r="B256" t="s">
        <v>576</v>
      </c>
      <c r="C256" t="s">
        <v>463</v>
      </c>
      <c r="D256" t="s">
        <v>271</v>
      </c>
      <c r="E256" t="s">
        <v>45</v>
      </c>
      <c r="F256">
        <v>1</v>
      </c>
      <c r="G256">
        <v>45</v>
      </c>
    </row>
    <row r="257" spans="1:7" x14ac:dyDescent="0.25">
      <c r="A257">
        <v>9053</v>
      </c>
      <c r="B257" t="s">
        <v>576</v>
      </c>
      <c r="C257" t="s">
        <v>464</v>
      </c>
      <c r="D257" t="s">
        <v>270</v>
      </c>
      <c r="E257" t="s">
        <v>45</v>
      </c>
      <c r="F257">
        <v>1</v>
      </c>
      <c r="G257">
        <v>80</v>
      </c>
    </row>
    <row r="258" spans="1:7" x14ac:dyDescent="0.25">
      <c r="A258">
        <v>2737</v>
      </c>
      <c r="B258" t="s">
        <v>630</v>
      </c>
      <c r="C258" t="s">
        <v>464</v>
      </c>
      <c r="D258" t="s">
        <v>270</v>
      </c>
      <c r="E258" t="s">
        <v>15</v>
      </c>
      <c r="F258">
        <v>1</v>
      </c>
      <c r="G258">
        <v>30</v>
      </c>
    </row>
    <row r="259" spans="1:7" x14ac:dyDescent="0.25">
      <c r="A259">
        <v>2738</v>
      </c>
      <c r="B259" t="s">
        <v>438</v>
      </c>
      <c r="C259" t="s">
        <v>464</v>
      </c>
      <c r="D259" t="s">
        <v>270</v>
      </c>
      <c r="E259" t="s">
        <v>15</v>
      </c>
      <c r="F259">
        <v>1</v>
      </c>
      <c r="G259">
        <v>60</v>
      </c>
    </row>
    <row r="260" spans="1:7" x14ac:dyDescent="0.25">
      <c r="A260">
        <v>9237</v>
      </c>
      <c r="B260" t="s">
        <v>633</v>
      </c>
      <c r="C260" t="s">
        <v>465</v>
      </c>
      <c r="D260" t="s">
        <v>269</v>
      </c>
      <c r="E260" t="s">
        <v>15</v>
      </c>
      <c r="F260">
        <v>1</v>
      </c>
      <c r="G260">
        <v>26</v>
      </c>
    </row>
    <row r="261" spans="1:7" x14ac:dyDescent="0.25">
      <c r="A261">
        <v>2736</v>
      </c>
      <c r="B261" t="s">
        <v>62</v>
      </c>
      <c r="C261" t="s">
        <v>465</v>
      </c>
      <c r="D261" t="s">
        <v>269</v>
      </c>
      <c r="E261" t="s">
        <v>15</v>
      </c>
      <c r="F261">
        <v>1</v>
      </c>
      <c r="G261">
        <v>22</v>
      </c>
    </row>
    <row r="262" spans="1:7" x14ac:dyDescent="0.25">
      <c r="A262">
        <v>2738</v>
      </c>
      <c r="B262" t="s">
        <v>438</v>
      </c>
      <c r="C262" t="s">
        <v>465</v>
      </c>
      <c r="D262" t="s">
        <v>269</v>
      </c>
      <c r="E262" t="s">
        <v>15</v>
      </c>
      <c r="F262">
        <v>1</v>
      </c>
      <c r="G262">
        <v>168</v>
      </c>
    </row>
    <row r="263" spans="1:7" x14ac:dyDescent="0.25">
      <c r="A263">
        <v>9229</v>
      </c>
      <c r="B263" t="s">
        <v>194</v>
      </c>
      <c r="C263" t="s">
        <v>465</v>
      </c>
      <c r="D263" t="s">
        <v>269</v>
      </c>
      <c r="E263" t="s">
        <v>15</v>
      </c>
      <c r="F263">
        <v>1</v>
      </c>
      <c r="G263">
        <v>13</v>
      </c>
    </row>
    <row r="264" spans="1:7" x14ac:dyDescent="0.25">
      <c r="A264">
        <v>2543</v>
      </c>
      <c r="B264" t="s">
        <v>588</v>
      </c>
      <c r="C264" t="s">
        <v>663</v>
      </c>
      <c r="D264" t="s">
        <v>266</v>
      </c>
      <c r="E264" t="s">
        <v>7</v>
      </c>
      <c r="F264">
        <v>1</v>
      </c>
      <c r="G264">
        <v>4</v>
      </c>
    </row>
    <row r="265" spans="1:7" x14ac:dyDescent="0.25">
      <c r="A265">
        <v>4808</v>
      </c>
      <c r="B265" t="s">
        <v>651</v>
      </c>
      <c r="C265" t="s">
        <v>663</v>
      </c>
      <c r="D265" t="s">
        <v>266</v>
      </c>
      <c r="E265" t="s">
        <v>25</v>
      </c>
      <c r="F265">
        <v>1</v>
      </c>
      <c r="G265">
        <v>51</v>
      </c>
    </row>
    <row r="266" spans="1:7" x14ac:dyDescent="0.25">
      <c r="A266">
        <v>2283</v>
      </c>
      <c r="B266" t="s">
        <v>582</v>
      </c>
      <c r="C266" t="s">
        <v>663</v>
      </c>
      <c r="D266" t="s">
        <v>266</v>
      </c>
      <c r="E266" t="s">
        <v>7</v>
      </c>
      <c r="F266">
        <v>1</v>
      </c>
      <c r="G266">
        <v>12</v>
      </c>
    </row>
    <row r="267" spans="1:7" x14ac:dyDescent="0.25">
      <c r="A267">
        <v>9053</v>
      </c>
      <c r="B267" t="s">
        <v>576</v>
      </c>
      <c r="C267" t="s">
        <v>663</v>
      </c>
      <c r="D267" t="s">
        <v>266</v>
      </c>
      <c r="E267" t="s">
        <v>45</v>
      </c>
      <c r="F267">
        <v>1</v>
      </c>
      <c r="G267">
        <v>100</v>
      </c>
    </row>
    <row r="268" spans="1:7" x14ac:dyDescent="0.25">
      <c r="A268">
        <v>2735</v>
      </c>
      <c r="B268" t="s">
        <v>631</v>
      </c>
      <c r="C268" t="s">
        <v>664</v>
      </c>
      <c r="D268" t="s">
        <v>267</v>
      </c>
      <c r="E268" t="s">
        <v>15</v>
      </c>
      <c r="F268">
        <v>1</v>
      </c>
      <c r="G268">
        <v>32</v>
      </c>
    </row>
    <row r="269" spans="1:7" x14ac:dyDescent="0.25">
      <c r="A269">
        <v>9201</v>
      </c>
      <c r="B269" t="s">
        <v>579</v>
      </c>
      <c r="C269" t="s">
        <v>664</v>
      </c>
      <c r="D269" t="s">
        <v>267</v>
      </c>
      <c r="E269" t="s">
        <v>15</v>
      </c>
      <c r="F269">
        <v>1</v>
      </c>
      <c r="G269">
        <v>154</v>
      </c>
    </row>
    <row r="270" spans="1:7" x14ac:dyDescent="0.25">
      <c r="A270">
        <v>4855</v>
      </c>
      <c r="B270" t="s">
        <v>653</v>
      </c>
      <c r="C270" t="s">
        <v>665</v>
      </c>
      <c r="D270" t="s">
        <v>278</v>
      </c>
      <c r="E270" t="s">
        <v>25</v>
      </c>
      <c r="F270">
        <v>1</v>
      </c>
      <c r="G270">
        <v>44</v>
      </c>
    </row>
    <row r="271" spans="1:7" x14ac:dyDescent="0.25">
      <c r="A271">
        <v>9053</v>
      </c>
      <c r="B271" t="s">
        <v>576</v>
      </c>
      <c r="C271" t="s">
        <v>665</v>
      </c>
      <c r="D271" t="s">
        <v>278</v>
      </c>
      <c r="E271" t="s">
        <v>45</v>
      </c>
      <c r="F271">
        <v>1</v>
      </c>
      <c r="G271">
        <v>100</v>
      </c>
    </row>
    <row r="272" spans="1:7" x14ac:dyDescent="0.25">
      <c r="A272">
        <v>2553</v>
      </c>
      <c r="B272" t="s">
        <v>589</v>
      </c>
      <c r="C272" t="s">
        <v>665</v>
      </c>
      <c r="D272" t="s">
        <v>278</v>
      </c>
      <c r="E272" t="s">
        <v>7</v>
      </c>
      <c r="F272">
        <v>1</v>
      </c>
      <c r="G272">
        <v>10</v>
      </c>
    </row>
    <row r="273" spans="1:7" x14ac:dyDescent="0.25">
      <c r="A273">
        <v>4855</v>
      </c>
      <c r="B273" t="s">
        <v>653</v>
      </c>
      <c r="C273" t="s">
        <v>666</v>
      </c>
      <c r="D273" t="s">
        <v>294</v>
      </c>
      <c r="E273" t="s">
        <v>25</v>
      </c>
      <c r="F273">
        <v>1</v>
      </c>
      <c r="G273">
        <v>29</v>
      </c>
    </row>
    <row r="274" spans="1:7" x14ac:dyDescent="0.25">
      <c r="A274">
        <v>4808</v>
      </c>
      <c r="B274" t="s">
        <v>651</v>
      </c>
      <c r="C274" t="s">
        <v>666</v>
      </c>
      <c r="D274" t="s">
        <v>294</v>
      </c>
      <c r="E274" t="s">
        <v>25</v>
      </c>
      <c r="F274">
        <v>1</v>
      </c>
      <c r="G274">
        <v>80</v>
      </c>
    </row>
    <row r="275" spans="1:7" x14ac:dyDescent="0.25">
      <c r="A275">
        <v>9053</v>
      </c>
      <c r="B275" t="s">
        <v>576</v>
      </c>
      <c r="C275" t="s">
        <v>666</v>
      </c>
      <c r="D275" t="s">
        <v>294</v>
      </c>
      <c r="E275" t="s">
        <v>45</v>
      </c>
      <c r="F275">
        <v>1</v>
      </c>
      <c r="G275">
        <v>37</v>
      </c>
    </row>
    <row r="276" spans="1:7" x14ac:dyDescent="0.25">
      <c r="A276">
        <v>2735</v>
      </c>
      <c r="B276" t="s">
        <v>631</v>
      </c>
      <c r="C276" t="s">
        <v>667</v>
      </c>
      <c r="D276" t="s">
        <v>279</v>
      </c>
      <c r="E276" t="s">
        <v>15</v>
      </c>
      <c r="F276">
        <v>1</v>
      </c>
      <c r="G276">
        <v>41</v>
      </c>
    </row>
    <row r="277" spans="1:7" x14ac:dyDescent="0.25">
      <c r="A277">
        <v>2736</v>
      </c>
      <c r="B277" t="s">
        <v>62</v>
      </c>
      <c r="C277" t="s">
        <v>667</v>
      </c>
      <c r="D277" t="s">
        <v>279</v>
      </c>
      <c r="E277" t="s">
        <v>15</v>
      </c>
      <c r="F277">
        <v>1</v>
      </c>
      <c r="G277">
        <v>100</v>
      </c>
    </row>
    <row r="278" spans="1:7" x14ac:dyDescent="0.25">
      <c r="A278">
        <v>9188</v>
      </c>
      <c r="B278" t="s">
        <v>575</v>
      </c>
      <c r="C278" t="s">
        <v>667</v>
      </c>
      <c r="D278" t="s">
        <v>279</v>
      </c>
      <c r="E278" t="s">
        <v>15</v>
      </c>
      <c r="F278">
        <v>1</v>
      </c>
      <c r="G278">
        <v>18</v>
      </c>
    </row>
    <row r="279" spans="1:7" x14ac:dyDescent="0.25">
      <c r="A279">
        <v>9053</v>
      </c>
      <c r="B279" t="s">
        <v>576</v>
      </c>
      <c r="C279" t="s">
        <v>667</v>
      </c>
      <c r="D279" t="s">
        <v>279</v>
      </c>
      <c r="E279" t="s">
        <v>45</v>
      </c>
      <c r="F279">
        <v>1</v>
      </c>
      <c r="G279">
        <v>14</v>
      </c>
    </row>
    <row r="280" spans="1:7" x14ac:dyDescent="0.25">
      <c r="A280">
        <v>2543</v>
      </c>
      <c r="B280" t="s">
        <v>588</v>
      </c>
      <c r="C280" t="s">
        <v>668</v>
      </c>
      <c r="D280" t="s">
        <v>276</v>
      </c>
      <c r="E280" t="s">
        <v>7</v>
      </c>
      <c r="F280">
        <v>1</v>
      </c>
      <c r="G280">
        <v>22</v>
      </c>
    </row>
    <row r="281" spans="1:7" x14ac:dyDescent="0.25">
      <c r="A281">
        <v>4855</v>
      </c>
      <c r="B281" t="s">
        <v>653</v>
      </c>
      <c r="C281" t="s">
        <v>668</v>
      </c>
      <c r="D281" t="s">
        <v>276</v>
      </c>
      <c r="E281" t="s">
        <v>25</v>
      </c>
      <c r="F281">
        <v>1</v>
      </c>
      <c r="G281">
        <v>32</v>
      </c>
    </row>
    <row r="282" spans="1:7" x14ac:dyDescent="0.25">
      <c r="A282">
        <v>9201</v>
      </c>
      <c r="B282" t="s">
        <v>579</v>
      </c>
      <c r="C282" t="s">
        <v>668</v>
      </c>
      <c r="D282" t="s">
        <v>276</v>
      </c>
      <c r="E282" t="s">
        <v>15</v>
      </c>
      <c r="F282">
        <v>1</v>
      </c>
      <c r="G282">
        <v>60</v>
      </c>
    </row>
    <row r="283" spans="1:7" x14ac:dyDescent="0.25">
      <c r="A283">
        <v>9033</v>
      </c>
      <c r="B283" t="s">
        <v>618</v>
      </c>
      <c r="C283" t="s">
        <v>466</v>
      </c>
      <c r="D283" t="s">
        <v>293</v>
      </c>
      <c r="E283" t="s">
        <v>15</v>
      </c>
      <c r="F283">
        <v>1</v>
      </c>
      <c r="G283">
        <v>19</v>
      </c>
    </row>
    <row r="284" spans="1:7" x14ac:dyDescent="0.25">
      <c r="A284">
        <v>2738</v>
      </c>
      <c r="B284" t="s">
        <v>438</v>
      </c>
      <c r="C284" t="s">
        <v>466</v>
      </c>
      <c r="D284" t="s">
        <v>293</v>
      </c>
      <c r="E284" t="s">
        <v>15</v>
      </c>
      <c r="F284">
        <v>1</v>
      </c>
      <c r="G284">
        <v>75</v>
      </c>
    </row>
    <row r="285" spans="1:7" x14ac:dyDescent="0.25">
      <c r="A285">
        <v>9237</v>
      </c>
      <c r="B285" t="s">
        <v>633</v>
      </c>
      <c r="C285" t="s">
        <v>467</v>
      </c>
      <c r="D285" t="s">
        <v>292</v>
      </c>
      <c r="E285" t="s">
        <v>15</v>
      </c>
      <c r="F285">
        <v>1</v>
      </c>
      <c r="G285">
        <v>16</v>
      </c>
    </row>
    <row r="286" spans="1:7" x14ac:dyDescent="0.25">
      <c r="A286">
        <v>2738</v>
      </c>
      <c r="B286" t="s">
        <v>438</v>
      </c>
      <c r="C286" t="s">
        <v>467</v>
      </c>
      <c r="D286" t="s">
        <v>292</v>
      </c>
      <c r="E286" t="s">
        <v>15</v>
      </c>
      <c r="F286">
        <v>1</v>
      </c>
      <c r="G286">
        <v>147</v>
      </c>
    </row>
    <row r="287" spans="1:7" x14ac:dyDescent="0.25">
      <c r="A287">
        <v>4855</v>
      </c>
      <c r="B287" t="s">
        <v>653</v>
      </c>
      <c r="C287" t="s">
        <v>669</v>
      </c>
      <c r="D287" t="s">
        <v>295</v>
      </c>
      <c r="E287" t="s">
        <v>25</v>
      </c>
      <c r="F287">
        <v>1</v>
      </c>
      <c r="G287">
        <v>48</v>
      </c>
    </row>
    <row r="288" spans="1:7" x14ac:dyDescent="0.25">
      <c r="A288">
        <v>9053</v>
      </c>
      <c r="B288" t="s">
        <v>576</v>
      </c>
      <c r="C288" t="s">
        <v>669</v>
      </c>
      <c r="D288" t="s">
        <v>295</v>
      </c>
      <c r="E288" t="s">
        <v>45</v>
      </c>
      <c r="F288">
        <v>1</v>
      </c>
      <c r="G288">
        <v>66</v>
      </c>
    </row>
    <row r="289" spans="1:7" x14ac:dyDescent="0.25">
      <c r="A289">
        <v>9188</v>
      </c>
      <c r="B289" t="s">
        <v>575</v>
      </c>
      <c r="C289" t="s">
        <v>669</v>
      </c>
      <c r="D289" t="s">
        <v>295</v>
      </c>
      <c r="E289" t="s">
        <v>15</v>
      </c>
      <c r="F289">
        <v>1</v>
      </c>
      <c r="G289">
        <v>52</v>
      </c>
    </row>
    <row r="290" spans="1:7" x14ac:dyDescent="0.25">
      <c r="A290">
        <v>9237</v>
      </c>
      <c r="B290" t="s">
        <v>633</v>
      </c>
      <c r="C290" t="s">
        <v>468</v>
      </c>
      <c r="D290" t="s">
        <v>275</v>
      </c>
      <c r="E290" t="s">
        <v>15</v>
      </c>
      <c r="F290">
        <v>1</v>
      </c>
      <c r="G290">
        <v>13</v>
      </c>
    </row>
    <row r="291" spans="1:7" x14ac:dyDescent="0.25">
      <c r="A291">
        <v>2283</v>
      </c>
      <c r="B291" t="s">
        <v>582</v>
      </c>
      <c r="C291" t="s">
        <v>468</v>
      </c>
      <c r="D291" t="s">
        <v>275</v>
      </c>
      <c r="E291" t="s">
        <v>7</v>
      </c>
      <c r="F291">
        <v>1</v>
      </c>
      <c r="G291">
        <v>24</v>
      </c>
    </row>
    <row r="292" spans="1:7" x14ac:dyDescent="0.25">
      <c r="A292">
        <v>2738</v>
      </c>
      <c r="B292" t="s">
        <v>438</v>
      </c>
      <c r="C292" t="s">
        <v>468</v>
      </c>
      <c r="D292" t="s">
        <v>275</v>
      </c>
      <c r="E292" t="s">
        <v>15</v>
      </c>
      <c r="F292">
        <v>1</v>
      </c>
      <c r="G292">
        <v>84</v>
      </c>
    </row>
    <row r="293" spans="1:7" x14ac:dyDescent="0.25">
      <c r="A293">
        <v>4808</v>
      </c>
      <c r="B293" t="s">
        <v>651</v>
      </c>
      <c r="C293" t="s">
        <v>468</v>
      </c>
      <c r="D293" t="s">
        <v>275</v>
      </c>
      <c r="E293" t="s">
        <v>25</v>
      </c>
      <c r="F293">
        <v>1</v>
      </c>
      <c r="G293">
        <v>38</v>
      </c>
    </row>
    <row r="294" spans="1:7" x14ac:dyDescent="0.25">
      <c r="A294">
        <v>9033</v>
      </c>
      <c r="B294" t="s">
        <v>618</v>
      </c>
      <c r="C294" t="s">
        <v>469</v>
      </c>
      <c r="D294" t="s">
        <v>277</v>
      </c>
      <c r="E294" t="s">
        <v>15</v>
      </c>
      <c r="F294">
        <v>1</v>
      </c>
      <c r="G294">
        <v>18</v>
      </c>
    </row>
    <row r="295" spans="1:7" x14ac:dyDescent="0.25">
      <c r="A295">
        <v>2738</v>
      </c>
      <c r="B295" t="s">
        <v>438</v>
      </c>
      <c r="C295" t="s">
        <v>469</v>
      </c>
      <c r="D295" t="s">
        <v>277</v>
      </c>
      <c r="E295" t="s">
        <v>15</v>
      </c>
      <c r="F295">
        <v>1</v>
      </c>
      <c r="G295">
        <v>160</v>
      </c>
    </row>
    <row r="296" spans="1:7" x14ac:dyDescent="0.25">
      <c r="A296">
        <v>2553</v>
      </c>
      <c r="B296" t="s">
        <v>589</v>
      </c>
      <c r="C296" t="s">
        <v>469</v>
      </c>
      <c r="D296" t="s">
        <v>277</v>
      </c>
      <c r="E296" t="s">
        <v>7</v>
      </c>
      <c r="F296">
        <v>1</v>
      </c>
      <c r="G296">
        <v>12</v>
      </c>
    </row>
    <row r="297" spans="1:7" x14ac:dyDescent="0.25">
      <c r="A297">
        <v>2738</v>
      </c>
      <c r="B297" t="s">
        <v>438</v>
      </c>
      <c r="C297" t="s">
        <v>470</v>
      </c>
      <c r="D297" t="s">
        <v>291</v>
      </c>
      <c r="E297" t="s">
        <v>15</v>
      </c>
      <c r="F297">
        <v>1</v>
      </c>
      <c r="G297">
        <v>205</v>
      </c>
    </row>
    <row r="298" spans="1:7" x14ac:dyDescent="0.25">
      <c r="A298">
        <v>2738</v>
      </c>
      <c r="B298" t="s">
        <v>438</v>
      </c>
      <c r="C298" t="s">
        <v>471</v>
      </c>
      <c r="D298" t="s">
        <v>290</v>
      </c>
      <c r="E298" t="s">
        <v>15</v>
      </c>
      <c r="F298">
        <v>1</v>
      </c>
      <c r="G298">
        <v>105</v>
      </c>
    </row>
    <row r="299" spans="1:7" x14ac:dyDescent="0.25">
      <c r="A299">
        <v>2738</v>
      </c>
      <c r="B299" t="s">
        <v>438</v>
      </c>
      <c r="C299" t="s">
        <v>472</v>
      </c>
      <c r="D299" t="s">
        <v>288</v>
      </c>
      <c r="E299" t="s">
        <v>15</v>
      </c>
      <c r="F299">
        <v>1</v>
      </c>
      <c r="G299">
        <v>46</v>
      </c>
    </row>
    <row r="300" spans="1:7" x14ac:dyDescent="0.25">
      <c r="A300">
        <v>9053</v>
      </c>
      <c r="B300" t="s">
        <v>576</v>
      </c>
      <c r="C300" t="s">
        <v>472</v>
      </c>
      <c r="D300" t="s">
        <v>288</v>
      </c>
      <c r="E300" t="s">
        <v>45</v>
      </c>
      <c r="F300">
        <v>1</v>
      </c>
      <c r="G300">
        <v>65</v>
      </c>
    </row>
    <row r="301" spans="1:7" x14ac:dyDescent="0.25">
      <c r="A301">
        <v>9188</v>
      </c>
      <c r="B301" t="s">
        <v>575</v>
      </c>
      <c r="C301" t="s">
        <v>472</v>
      </c>
      <c r="D301" t="s">
        <v>288</v>
      </c>
      <c r="E301" t="s">
        <v>15</v>
      </c>
      <c r="F301">
        <v>1</v>
      </c>
      <c r="G301">
        <v>32</v>
      </c>
    </row>
    <row r="302" spans="1:7" x14ac:dyDescent="0.25">
      <c r="A302">
        <v>9237</v>
      </c>
      <c r="B302" t="s">
        <v>633</v>
      </c>
      <c r="C302" t="s">
        <v>472</v>
      </c>
      <c r="D302" t="s">
        <v>288</v>
      </c>
      <c r="E302" t="s">
        <v>15</v>
      </c>
      <c r="F302">
        <v>1</v>
      </c>
      <c r="G302">
        <v>10</v>
      </c>
    </row>
    <row r="303" spans="1:7" x14ac:dyDescent="0.25">
      <c r="A303">
        <v>2738</v>
      </c>
      <c r="B303" t="s">
        <v>438</v>
      </c>
      <c r="C303" t="s">
        <v>473</v>
      </c>
      <c r="D303" t="s">
        <v>287</v>
      </c>
      <c r="E303" t="s">
        <v>15</v>
      </c>
      <c r="F303">
        <v>1</v>
      </c>
      <c r="G303">
        <v>80</v>
      </c>
    </row>
    <row r="304" spans="1:7" x14ac:dyDescent="0.25">
      <c r="A304">
        <v>9053</v>
      </c>
      <c r="B304" t="s">
        <v>576</v>
      </c>
      <c r="C304" t="s">
        <v>473</v>
      </c>
      <c r="D304" t="s">
        <v>287</v>
      </c>
      <c r="E304" t="s">
        <v>45</v>
      </c>
      <c r="F304">
        <v>1</v>
      </c>
      <c r="G304">
        <v>70</v>
      </c>
    </row>
    <row r="305" spans="1:7" x14ac:dyDescent="0.25">
      <c r="A305">
        <v>9237</v>
      </c>
      <c r="B305" t="s">
        <v>633</v>
      </c>
      <c r="C305" t="s">
        <v>473</v>
      </c>
      <c r="D305" t="s">
        <v>287</v>
      </c>
      <c r="E305" t="s">
        <v>15</v>
      </c>
      <c r="F305">
        <v>1</v>
      </c>
      <c r="G305">
        <v>10</v>
      </c>
    </row>
    <row r="306" spans="1:7" x14ac:dyDescent="0.25">
      <c r="A306">
        <v>2283</v>
      </c>
      <c r="B306" t="s">
        <v>582</v>
      </c>
      <c r="C306" t="s">
        <v>474</v>
      </c>
      <c r="D306" t="s">
        <v>274</v>
      </c>
      <c r="E306" t="s">
        <v>7</v>
      </c>
      <c r="F306">
        <v>1</v>
      </c>
      <c r="G306">
        <v>54</v>
      </c>
    </row>
    <row r="307" spans="1:7" x14ac:dyDescent="0.25">
      <c r="A307">
        <v>4855</v>
      </c>
      <c r="B307" t="s">
        <v>653</v>
      </c>
      <c r="C307" t="s">
        <v>474</v>
      </c>
      <c r="D307" t="s">
        <v>274</v>
      </c>
      <c r="E307" t="s">
        <v>25</v>
      </c>
      <c r="F307">
        <v>1</v>
      </c>
      <c r="G307">
        <v>18</v>
      </c>
    </row>
    <row r="308" spans="1:7" x14ac:dyDescent="0.25">
      <c r="A308">
        <v>2738</v>
      </c>
      <c r="B308" t="s">
        <v>438</v>
      </c>
      <c r="C308" t="s">
        <v>474</v>
      </c>
      <c r="D308" t="s">
        <v>274</v>
      </c>
      <c r="E308" t="s">
        <v>15</v>
      </c>
      <c r="F308">
        <v>1</v>
      </c>
      <c r="G308">
        <v>100</v>
      </c>
    </row>
    <row r="309" spans="1:7" x14ac:dyDescent="0.25">
      <c r="A309">
        <v>2737</v>
      </c>
      <c r="B309" t="s">
        <v>630</v>
      </c>
      <c r="C309" t="s">
        <v>475</v>
      </c>
      <c r="D309" t="s">
        <v>280</v>
      </c>
      <c r="E309" t="s">
        <v>15</v>
      </c>
      <c r="F309">
        <v>1</v>
      </c>
      <c r="G309">
        <v>27</v>
      </c>
    </row>
    <row r="310" spans="1:7" x14ac:dyDescent="0.25">
      <c r="A310">
        <v>2738</v>
      </c>
      <c r="B310" t="s">
        <v>438</v>
      </c>
      <c r="C310" t="s">
        <v>475</v>
      </c>
      <c r="D310" t="s">
        <v>280</v>
      </c>
      <c r="E310" t="s">
        <v>15</v>
      </c>
      <c r="F310">
        <v>1</v>
      </c>
      <c r="G310">
        <v>190</v>
      </c>
    </row>
    <row r="311" spans="1:7" x14ac:dyDescent="0.25">
      <c r="A311">
        <v>2738</v>
      </c>
      <c r="B311" t="s">
        <v>438</v>
      </c>
      <c r="C311" t="s">
        <v>476</v>
      </c>
      <c r="D311" t="s">
        <v>286</v>
      </c>
      <c r="E311" t="s">
        <v>15</v>
      </c>
      <c r="F311">
        <v>1</v>
      </c>
      <c r="G311">
        <v>98</v>
      </c>
    </row>
    <row r="312" spans="1:7" x14ac:dyDescent="0.25">
      <c r="A312">
        <v>9237</v>
      </c>
      <c r="B312" t="s">
        <v>633</v>
      </c>
      <c r="C312" t="s">
        <v>476</v>
      </c>
      <c r="D312" t="s">
        <v>286</v>
      </c>
      <c r="E312" t="s">
        <v>15</v>
      </c>
      <c r="F312">
        <v>1</v>
      </c>
      <c r="G312">
        <v>26</v>
      </c>
    </row>
    <row r="313" spans="1:7" x14ac:dyDescent="0.25">
      <c r="A313">
        <v>9188</v>
      </c>
      <c r="B313" t="s">
        <v>575</v>
      </c>
      <c r="C313" t="s">
        <v>476</v>
      </c>
      <c r="D313" t="s">
        <v>286</v>
      </c>
      <c r="E313" t="s">
        <v>15</v>
      </c>
      <c r="F313">
        <v>1</v>
      </c>
      <c r="G313">
        <v>54</v>
      </c>
    </row>
    <row r="314" spans="1:7" x14ac:dyDescent="0.25">
      <c r="A314">
        <v>9237</v>
      </c>
      <c r="B314" t="s">
        <v>633</v>
      </c>
      <c r="C314" t="s">
        <v>477</v>
      </c>
      <c r="D314" t="s">
        <v>285</v>
      </c>
      <c r="E314" t="s">
        <v>15</v>
      </c>
      <c r="F314">
        <v>1</v>
      </c>
      <c r="G314">
        <v>19</v>
      </c>
    </row>
    <row r="315" spans="1:7" x14ac:dyDescent="0.25">
      <c r="A315">
        <v>2738</v>
      </c>
      <c r="B315" t="s">
        <v>438</v>
      </c>
      <c r="C315" t="s">
        <v>477</v>
      </c>
      <c r="D315" t="s">
        <v>285</v>
      </c>
      <c r="E315" t="s">
        <v>15</v>
      </c>
      <c r="F315">
        <v>1</v>
      </c>
      <c r="G315">
        <v>105</v>
      </c>
    </row>
    <row r="316" spans="1:7" x14ac:dyDescent="0.25">
      <c r="A316">
        <v>9237</v>
      </c>
      <c r="B316" t="s">
        <v>633</v>
      </c>
      <c r="C316" t="s">
        <v>478</v>
      </c>
      <c r="D316" t="s">
        <v>284</v>
      </c>
      <c r="E316" t="s">
        <v>15</v>
      </c>
      <c r="F316">
        <v>1</v>
      </c>
      <c r="G316">
        <v>44</v>
      </c>
    </row>
    <row r="317" spans="1:7" x14ac:dyDescent="0.25">
      <c r="A317">
        <v>9188</v>
      </c>
      <c r="B317" t="s">
        <v>575</v>
      </c>
      <c r="C317" t="s">
        <v>478</v>
      </c>
      <c r="D317" t="s">
        <v>284</v>
      </c>
      <c r="E317" t="s">
        <v>15</v>
      </c>
      <c r="F317">
        <v>1</v>
      </c>
      <c r="G317">
        <v>118</v>
      </c>
    </row>
    <row r="318" spans="1:7" x14ac:dyDescent="0.25">
      <c r="A318">
        <v>2738</v>
      </c>
      <c r="B318" t="s">
        <v>438</v>
      </c>
      <c r="C318" t="s">
        <v>478</v>
      </c>
      <c r="D318" t="s">
        <v>284</v>
      </c>
      <c r="E318" t="s">
        <v>15</v>
      </c>
      <c r="F318">
        <v>1</v>
      </c>
      <c r="G318">
        <v>65</v>
      </c>
    </row>
    <row r="319" spans="1:7" x14ac:dyDescent="0.25">
      <c r="A319">
        <v>2738</v>
      </c>
      <c r="B319" t="s">
        <v>438</v>
      </c>
      <c r="C319" t="s">
        <v>479</v>
      </c>
      <c r="D319" t="s">
        <v>283</v>
      </c>
      <c r="E319" t="s">
        <v>15</v>
      </c>
      <c r="F319">
        <v>1</v>
      </c>
      <c r="G319">
        <v>190</v>
      </c>
    </row>
    <row r="320" spans="1:7" x14ac:dyDescent="0.25">
      <c r="A320">
        <v>9229</v>
      </c>
      <c r="B320" t="s">
        <v>194</v>
      </c>
      <c r="C320" t="s">
        <v>479</v>
      </c>
      <c r="D320" t="s">
        <v>283</v>
      </c>
      <c r="E320" t="s">
        <v>15</v>
      </c>
      <c r="F320">
        <v>1</v>
      </c>
      <c r="G320">
        <v>9</v>
      </c>
    </row>
    <row r="321" spans="1:7" x14ac:dyDescent="0.25">
      <c r="A321">
        <v>2738</v>
      </c>
      <c r="B321" t="s">
        <v>438</v>
      </c>
      <c r="C321" t="s">
        <v>480</v>
      </c>
      <c r="D321" t="s">
        <v>273</v>
      </c>
      <c r="E321" t="s">
        <v>15</v>
      </c>
      <c r="F321">
        <v>1</v>
      </c>
      <c r="G321">
        <v>16</v>
      </c>
    </row>
    <row r="322" spans="1:7" x14ac:dyDescent="0.25">
      <c r="A322">
        <v>9213</v>
      </c>
      <c r="B322" t="s">
        <v>596</v>
      </c>
      <c r="C322" t="s">
        <v>480</v>
      </c>
      <c r="D322" t="s">
        <v>273</v>
      </c>
      <c r="E322" t="s">
        <v>15</v>
      </c>
      <c r="F322">
        <v>1</v>
      </c>
      <c r="G322">
        <v>148</v>
      </c>
    </row>
    <row r="323" spans="1:7" x14ac:dyDescent="0.25">
      <c r="A323">
        <v>2283</v>
      </c>
      <c r="B323" t="s">
        <v>582</v>
      </c>
      <c r="C323" t="s">
        <v>480</v>
      </c>
      <c r="D323" t="s">
        <v>273</v>
      </c>
      <c r="E323" t="s">
        <v>7</v>
      </c>
      <c r="F323">
        <v>1</v>
      </c>
      <c r="G323">
        <v>40</v>
      </c>
    </row>
    <row r="324" spans="1:7" x14ac:dyDescent="0.25">
      <c r="A324">
        <v>2543</v>
      </c>
      <c r="B324" t="s">
        <v>588</v>
      </c>
      <c r="C324" t="s">
        <v>480</v>
      </c>
      <c r="D324" t="s">
        <v>273</v>
      </c>
      <c r="E324" t="s">
        <v>7</v>
      </c>
      <c r="F324">
        <v>1</v>
      </c>
      <c r="G324">
        <v>64</v>
      </c>
    </row>
    <row r="325" spans="1:7" x14ac:dyDescent="0.25">
      <c r="A325">
        <v>2738</v>
      </c>
      <c r="B325" t="s">
        <v>438</v>
      </c>
      <c r="C325" t="s">
        <v>481</v>
      </c>
      <c r="D325" t="s">
        <v>282</v>
      </c>
      <c r="E325" t="s">
        <v>15</v>
      </c>
      <c r="F325">
        <v>1</v>
      </c>
      <c r="G325">
        <v>157</v>
      </c>
    </row>
    <row r="326" spans="1:7" x14ac:dyDescent="0.25">
      <c r="A326">
        <v>9213</v>
      </c>
      <c r="B326" t="s">
        <v>596</v>
      </c>
      <c r="C326" t="s">
        <v>481</v>
      </c>
      <c r="D326" t="s">
        <v>282</v>
      </c>
      <c r="E326" t="s">
        <v>15</v>
      </c>
      <c r="F326">
        <v>1</v>
      </c>
      <c r="G326">
        <v>32</v>
      </c>
    </row>
    <row r="327" spans="1:7" x14ac:dyDescent="0.25">
      <c r="A327">
        <v>2738</v>
      </c>
      <c r="B327" t="s">
        <v>438</v>
      </c>
      <c r="C327" t="s">
        <v>482</v>
      </c>
      <c r="D327" t="s">
        <v>281</v>
      </c>
      <c r="E327" t="s">
        <v>15</v>
      </c>
      <c r="F327">
        <v>1</v>
      </c>
      <c r="G327">
        <v>15</v>
      </c>
    </row>
    <row r="328" spans="1:7" x14ac:dyDescent="0.25">
      <c r="A328">
        <v>9034</v>
      </c>
      <c r="B328" t="s">
        <v>605</v>
      </c>
      <c r="C328" t="s">
        <v>482</v>
      </c>
      <c r="D328" t="s">
        <v>281</v>
      </c>
      <c r="E328" t="s">
        <v>15</v>
      </c>
      <c r="F328">
        <v>1</v>
      </c>
      <c r="G328">
        <v>168</v>
      </c>
    </row>
    <row r="329" spans="1:7" x14ac:dyDescent="0.25">
      <c r="A329">
        <v>9034</v>
      </c>
      <c r="B329" t="s">
        <v>605</v>
      </c>
      <c r="C329" t="s">
        <v>670</v>
      </c>
      <c r="D329" t="s">
        <v>311</v>
      </c>
      <c r="E329" t="s">
        <v>15</v>
      </c>
      <c r="F329">
        <v>1</v>
      </c>
      <c r="G329">
        <v>135</v>
      </c>
    </row>
    <row r="330" spans="1:7" x14ac:dyDescent="0.25">
      <c r="A330">
        <v>9188</v>
      </c>
      <c r="B330" t="s">
        <v>575</v>
      </c>
      <c r="C330" t="s">
        <v>671</v>
      </c>
      <c r="D330" t="s">
        <v>310</v>
      </c>
      <c r="E330" t="s">
        <v>15</v>
      </c>
      <c r="F330">
        <v>1</v>
      </c>
      <c r="G330">
        <v>130</v>
      </c>
    </row>
    <row r="331" spans="1:7" x14ac:dyDescent="0.25">
      <c r="A331">
        <v>9034</v>
      </c>
      <c r="B331" t="s">
        <v>605</v>
      </c>
      <c r="C331" t="s">
        <v>671</v>
      </c>
      <c r="D331" t="s">
        <v>310</v>
      </c>
      <c r="E331" t="s">
        <v>15</v>
      </c>
      <c r="F331">
        <v>1</v>
      </c>
      <c r="G331">
        <v>122</v>
      </c>
    </row>
    <row r="332" spans="1:7" x14ac:dyDescent="0.25">
      <c r="A332">
        <v>9034</v>
      </c>
      <c r="B332" t="s">
        <v>605</v>
      </c>
      <c r="C332" t="s">
        <v>483</v>
      </c>
      <c r="D332" t="s">
        <v>302</v>
      </c>
      <c r="E332" t="s">
        <v>15</v>
      </c>
      <c r="F332">
        <v>1</v>
      </c>
      <c r="G332">
        <v>95</v>
      </c>
    </row>
    <row r="333" spans="1:7" x14ac:dyDescent="0.25">
      <c r="A333">
        <v>9033</v>
      </c>
      <c r="B333" t="s">
        <v>618</v>
      </c>
      <c r="C333" t="s">
        <v>483</v>
      </c>
      <c r="D333" t="s">
        <v>302</v>
      </c>
      <c r="E333" t="s">
        <v>15</v>
      </c>
      <c r="F333">
        <v>1</v>
      </c>
      <c r="G333">
        <v>25</v>
      </c>
    </row>
    <row r="334" spans="1:7" x14ac:dyDescent="0.25">
      <c r="A334">
        <v>2553</v>
      </c>
      <c r="B334" t="s">
        <v>589</v>
      </c>
      <c r="C334" t="s">
        <v>483</v>
      </c>
      <c r="D334" t="s">
        <v>302</v>
      </c>
      <c r="E334" t="s">
        <v>7</v>
      </c>
      <c r="F334">
        <v>1</v>
      </c>
      <c r="G334">
        <v>8</v>
      </c>
    </row>
    <row r="335" spans="1:7" x14ac:dyDescent="0.25">
      <c r="A335">
        <v>2738</v>
      </c>
      <c r="B335" t="s">
        <v>438</v>
      </c>
      <c r="C335" t="s">
        <v>483</v>
      </c>
      <c r="D335" t="s">
        <v>302</v>
      </c>
      <c r="E335" t="s">
        <v>15</v>
      </c>
      <c r="F335">
        <v>1</v>
      </c>
      <c r="G335">
        <v>75</v>
      </c>
    </row>
    <row r="336" spans="1:7" x14ac:dyDescent="0.25">
      <c r="A336">
        <v>9033</v>
      </c>
      <c r="B336" t="s">
        <v>618</v>
      </c>
      <c r="C336" t="s">
        <v>484</v>
      </c>
      <c r="D336" t="s">
        <v>300</v>
      </c>
      <c r="E336" t="s">
        <v>15</v>
      </c>
      <c r="F336">
        <v>1</v>
      </c>
      <c r="G336">
        <v>32</v>
      </c>
    </row>
    <row r="337" spans="1:7" x14ac:dyDescent="0.25">
      <c r="A337">
        <v>4808</v>
      </c>
      <c r="B337" t="s">
        <v>651</v>
      </c>
      <c r="C337" t="s">
        <v>484</v>
      </c>
      <c r="D337" t="s">
        <v>300</v>
      </c>
      <c r="E337" t="s">
        <v>25</v>
      </c>
      <c r="F337">
        <v>1</v>
      </c>
      <c r="G337">
        <v>15</v>
      </c>
    </row>
    <row r="338" spans="1:7" x14ac:dyDescent="0.25">
      <c r="A338">
        <v>2285</v>
      </c>
      <c r="B338" t="s">
        <v>580</v>
      </c>
      <c r="C338" t="s">
        <v>484</v>
      </c>
      <c r="D338" t="s">
        <v>300</v>
      </c>
      <c r="E338" t="s">
        <v>7</v>
      </c>
      <c r="F338">
        <v>1</v>
      </c>
      <c r="G338">
        <v>19</v>
      </c>
    </row>
    <row r="339" spans="1:7" x14ac:dyDescent="0.25">
      <c r="A339">
        <v>2738</v>
      </c>
      <c r="B339" t="s">
        <v>438</v>
      </c>
      <c r="C339" t="s">
        <v>484</v>
      </c>
      <c r="D339" t="s">
        <v>300</v>
      </c>
      <c r="E339" t="s">
        <v>15</v>
      </c>
      <c r="F339">
        <v>1</v>
      </c>
      <c r="G339">
        <v>144</v>
      </c>
    </row>
    <row r="340" spans="1:7" x14ac:dyDescent="0.25">
      <c r="A340">
        <v>4855</v>
      </c>
      <c r="B340" t="s">
        <v>653</v>
      </c>
      <c r="C340" t="s">
        <v>485</v>
      </c>
      <c r="D340" t="s">
        <v>309</v>
      </c>
      <c r="E340" t="s">
        <v>25</v>
      </c>
      <c r="F340">
        <v>1</v>
      </c>
      <c r="G340">
        <v>40</v>
      </c>
    </row>
    <row r="341" spans="1:7" x14ac:dyDescent="0.25">
      <c r="A341">
        <v>2738</v>
      </c>
      <c r="B341" t="s">
        <v>438</v>
      </c>
      <c r="C341" t="s">
        <v>485</v>
      </c>
      <c r="D341" t="s">
        <v>309</v>
      </c>
      <c r="E341" t="s">
        <v>15</v>
      </c>
      <c r="F341">
        <v>1</v>
      </c>
      <c r="G341">
        <v>146</v>
      </c>
    </row>
    <row r="342" spans="1:7" x14ac:dyDescent="0.25">
      <c r="A342">
        <v>9201</v>
      </c>
      <c r="B342" t="s">
        <v>579</v>
      </c>
      <c r="C342" t="s">
        <v>485</v>
      </c>
      <c r="D342" t="s">
        <v>309</v>
      </c>
      <c r="E342" t="s">
        <v>15</v>
      </c>
      <c r="F342">
        <v>1</v>
      </c>
      <c r="G342">
        <v>3</v>
      </c>
    </row>
    <row r="343" spans="1:7" x14ac:dyDescent="0.25">
      <c r="A343">
        <v>9229</v>
      </c>
      <c r="B343" t="s">
        <v>194</v>
      </c>
      <c r="C343" t="s">
        <v>485</v>
      </c>
      <c r="D343" t="s">
        <v>309</v>
      </c>
      <c r="E343" t="s">
        <v>15</v>
      </c>
      <c r="F343">
        <v>1</v>
      </c>
      <c r="G343">
        <v>4</v>
      </c>
    </row>
    <row r="344" spans="1:7" x14ac:dyDescent="0.25">
      <c r="A344">
        <v>9053</v>
      </c>
      <c r="B344" t="s">
        <v>576</v>
      </c>
      <c r="C344" t="s">
        <v>486</v>
      </c>
      <c r="D344" t="s">
        <v>308</v>
      </c>
      <c r="E344" t="s">
        <v>45</v>
      </c>
      <c r="F344">
        <v>1</v>
      </c>
      <c r="G344">
        <v>47</v>
      </c>
    </row>
    <row r="345" spans="1:7" x14ac:dyDescent="0.25">
      <c r="A345">
        <v>2738</v>
      </c>
      <c r="B345" t="s">
        <v>438</v>
      </c>
      <c r="C345" t="s">
        <v>486</v>
      </c>
      <c r="D345" t="s">
        <v>308</v>
      </c>
      <c r="E345" t="s">
        <v>15</v>
      </c>
      <c r="F345">
        <v>1</v>
      </c>
      <c r="G345">
        <v>120</v>
      </c>
    </row>
    <row r="346" spans="1:7" x14ac:dyDescent="0.25">
      <c r="A346">
        <v>9229</v>
      </c>
      <c r="B346" t="s">
        <v>194</v>
      </c>
      <c r="C346" t="s">
        <v>486</v>
      </c>
      <c r="D346" t="s">
        <v>308</v>
      </c>
      <c r="E346" t="s">
        <v>15</v>
      </c>
      <c r="F346">
        <v>1</v>
      </c>
      <c r="G346">
        <v>8</v>
      </c>
    </row>
    <row r="347" spans="1:7" x14ac:dyDescent="0.25">
      <c r="A347">
        <v>2738</v>
      </c>
      <c r="B347" t="s">
        <v>438</v>
      </c>
      <c r="C347" t="s">
        <v>487</v>
      </c>
      <c r="D347" t="s">
        <v>307</v>
      </c>
      <c r="E347" t="s">
        <v>15</v>
      </c>
      <c r="F347">
        <v>1</v>
      </c>
      <c r="G347">
        <v>114</v>
      </c>
    </row>
    <row r="348" spans="1:7" x14ac:dyDescent="0.25">
      <c r="A348">
        <v>2738</v>
      </c>
      <c r="B348" t="s">
        <v>438</v>
      </c>
      <c r="C348" t="s">
        <v>488</v>
      </c>
      <c r="D348" t="s">
        <v>306</v>
      </c>
      <c r="E348" t="s">
        <v>15</v>
      </c>
      <c r="F348">
        <v>1</v>
      </c>
      <c r="G348">
        <v>198</v>
      </c>
    </row>
    <row r="349" spans="1:7" x14ac:dyDescent="0.25">
      <c r="A349">
        <v>2543</v>
      </c>
      <c r="B349" t="s">
        <v>588</v>
      </c>
      <c r="C349" t="s">
        <v>489</v>
      </c>
      <c r="D349" t="s">
        <v>301</v>
      </c>
      <c r="E349" t="s">
        <v>7</v>
      </c>
      <c r="F349">
        <v>1</v>
      </c>
      <c r="G349">
        <v>11</v>
      </c>
    </row>
    <row r="350" spans="1:7" x14ac:dyDescent="0.25">
      <c r="A350">
        <v>4808</v>
      </c>
      <c r="B350" t="s">
        <v>651</v>
      </c>
      <c r="C350" t="s">
        <v>489</v>
      </c>
      <c r="D350" t="s">
        <v>301</v>
      </c>
      <c r="E350" t="s">
        <v>25</v>
      </c>
      <c r="F350">
        <v>1</v>
      </c>
      <c r="G350">
        <v>52</v>
      </c>
    </row>
    <row r="351" spans="1:7" x14ac:dyDescent="0.25">
      <c r="A351">
        <v>2738</v>
      </c>
      <c r="B351" t="s">
        <v>438</v>
      </c>
      <c r="C351" t="s">
        <v>489</v>
      </c>
      <c r="D351" t="s">
        <v>301</v>
      </c>
      <c r="E351" t="s">
        <v>15</v>
      </c>
      <c r="F351">
        <v>1</v>
      </c>
      <c r="G351">
        <v>116</v>
      </c>
    </row>
    <row r="352" spans="1:7" x14ac:dyDescent="0.25">
      <c r="A352">
        <v>9201</v>
      </c>
      <c r="B352" t="s">
        <v>579</v>
      </c>
      <c r="C352" t="s">
        <v>489</v>
      </c>
      <c r="D352" t="s">
        <v>301</v>
      </c>
      <c r="E352" t="s">
        <v>15</v>
      </c>
      <c r="F352">
        <v>1</v>
      </c>
      <c r="G352">
        <v>7</v>
      </c>
    </row>
    <row r="353" spans="1:7" x14ac:dyDescent="0.25">
      <c r="A353">
        <v>9238</v>
      </c>
      <c r="B353" t="s">
        <v>642</v>
      </c>
      <c r="C353" t="s">
        <v>489</v>
      </c>
      <c r="D353" t="s">
        <v>301</v>
      </c>
      <c r="E353" t="s">
        <v>15</v>
      </c>
      <c r="F353">
        <v>1</v>
      </c>
      <c r="G353">
        <v>6</v>
      </c>
    </row>
    <row r="354" spans="1:7" x14ac:dyDescent="0.25">
      <c r="A354">
        <v>9244</v>
      </c>
      <c r="B354" t="s">
        <v>672</v>
      </c>
      <c r="C354" t="s">
        <v>489</v>
      </c>
      <c r="D354" t="s">
        <v>301</v>
      </c>
      <c r="E354" t="s">
        <v>15</v>
      </c>
      <c r="F354">
        <v>1</v>
      </c>
      <c r="G354">
        <v>10</v>
      </c>
    </row>
    <row r="355" spans="1:7" x14ac:dyDescent="0.25">
      <c r="A355">
        <v>2283</v>
      </c>
      <c r="B355" t="s">
        <v>582</v>
      </c>
      <c r="C355" t="s">
        <v>673</v>
      </c>
      <c r="D355" t="s">
        <v>298</v>
      </c>
      <c r="E355" t="s">
        <v>7</v>
      </c>
      <c r="F355">
        <v>1</v>
      </c>
      <c r="G355">
        <v>19</v>
      </c>
    </row>
    <row r="356" spans="1:7" x14ac:dyDescent="0.25">
      <c r="A356">
        <v>9188</v>
      </c>
      <c r="B356" t="s">
        <v>575</v>
      </c>
      <c r="C356" t="s">
        <v>673</v>
      </c>
      <c r="D356" t="s">
        <v>298</v>
      </c>
      <c r="E356" t="s">
        <v>15</v>
      </c>
      <c r="F356">
        <v>1</v>
      </c>
      <c r="G356">
        <v>88</v>
      </c>
    </row>
    <row r="357" spans="1:7" x14ac:dyDescent="0.25">
      <c r="A357">
        <v>2736</v>
      </c>
      <c r="B357" t="s">
        <v>62</v>
      </c>
      <c r="C357" t="s">
        <v>673</v>
      </c>
      <c r="D357" t="s">
        <v>298</v>
      </c>
      <c r="E357" t="s">
        <v>15</v>
      </c>
      <c r="F357">
        <v>1</v>
      </c>
      <c r="G357">
        <v>89</v>
      </c>
    </row>
    <row r="358" spans="1:7" x14ac:dyDescent="0.25">
      <c r="A358">
        <v>4855</v>
      </c>
      <c r="B358" t="s">
        <v>653</v>
      </c>
      <c r="C358" t="s">
        <v>490</v>
      </c>
      <c r="D358" t="s">
        <v>305</v>
      </c>
      <c r="E358" t="s">
        <v>25</v>
      </c>
      <c r="F358">
        <v>1</v>
      </c>
      <c r="G358">
        <v>12</v>
      </c>
    </row>
    <row r="359" spans="1:7" x14ac:dyDescent="0.25">
      <c r="A359">
        <v>9214</v>
      </c>
      <c r="B359" t="s">
        <v>247</v>
      </c>
      <c r="C359" t="s">
        <v>490</v>
      </c>
      <c r="D359" t="s">
        <v>305</v>
      </c>
      <c r="E359" t="s">
        <v>15</v>
      </c>
      <c r="F359">
        <v>1</v>
      </c>
      <c r="G359">
        <v>32</v>
      </c>
    </row>
    <row r="360" spans="1:7" x14ac:dyDescent="0.25">
      <c r="A360">
        <v>9201</v>
      </c>
      <c r="B360" t="s">
        <v>579</v>
      </c>
      <c r="C360" t="s">
        <v>490</v>
      </c>
      <c r="D360" t="s">
        <v>305</v>
      </c>
      <c r="E360" t="s">
        <v>15</v>
      </c>
      <c r="F360">
        <v>1</v>
      </c>
      <c r="G360">
        <v>74</v>
      </c>
    </row>
    <row r="361" spans="1:7" x14ac:dyDescent="0.25">
      <c r="A361">
        <v>2738</v>
      </c>
      <c r="B361" t="s">
        <v>438</v>
      </c>
      <c r="C361" t="s">
        <v>490</v>
      </c>
      <c r="D361" t="s">
        <v>305</v>
      </c>
      <c r="E361" t="s">
        <v>15</v>
      </c>
      <c r="F361">
        <v>1</v>
      </c>
      <c r="G361">
        <v>65</v>
      </c>
    </row>
    <row r="362" spans="1:7" x14ac:dyDescent="0.25">
      <c r="A362">
        <v>9229</v>
      </c>
      <c r="B362" t="s">
        <v>194</v>
      </c>
      <c r="C362" t="s">
        <v>490</v>
      </c>
      <c r="D362" t="s">
        <v>305</v>
      </c>
      <c r="E362" t="s">
        <v>15</v>
      </c>
      <c r="F362">
        <v>1</v>
      </c>
      <c r="G362">
        <v>8</v>
      </c>
    </row>
    <row r="363" spans="1:7" x14ac:dyDescent="0.25">
      <c r="A363">
        <v>2735</v>
      </c>
      <c r="B363" t="s">
        <v>631</v>
      </c>
      <c r="C363" t="s">
        <v>491</v>
      </c>
      <c r="D363" t="s">
        <v>303</v>
      </c>
      <c r="E363" t="s">
        <v>15</v>
      </c>
      <c r="F363">
        <v>1</v>
      </c>
      <c r="G363">
        <v>9</v>
      </c>
    </row>
    <row r="364" spans="1:7" x14ac:dyDescent="0.25">
      <c r="A364">
        <v>9188</v>
      </c>
      <c r="B364" t="s">
        <v>575</v>
      </c>
      <c r="C364" t="s">
        <v>491</v>
      </c>
      <c r="D364" t="s">
        <v>303</v>
      </c>
      <c r="E364" t="s">
        <v>15</v>
      </c>
      <c r="F364">
        <v>1</v>
      </c>
      <c r="G364">
        <v>30</v>
      </c>
    </row>
    <row r="365" spans="1:7" x14ac:dyDescent="0.25">
      <c r="A365">
        <v>9053</v>
      </c>
      <c r="B365" t="s">
        <v>576</v>
      </c>
      <c r="C365" t="s">
        <v>491</v>
      </c>
      <c r="D365" t="s">
        <v>303</v>
      </c>
      <c r="E365" t="s">
        <v>45</v>
      </c>
      <c r="F365">
        <v>1</v>
      </c>
      <c r="G365">
        <v>44</v>
      </c>
    </row>
    <row r="366" spans="1:7" x14ac:dyDescent="0.25">
      <c r="A366">
        <v>2738</v>
      </c>
      <c r="B366" t="s">
        <v>438</v>
      </c>
      <c r="C366" t="s">
        <v>491</v>
      </c>
      <c r="D366" t="s">
        <v>303</v>
      </c>
      <c r="E366" t="s">
        <v>15</v>
      </c>
      <c r="F366">
        <v>1</v>
      </c>
      <c r="G366">
        <v>110</v>
      </c>
    </row>
    <row r="367" spans="1:7" x14ac:dyDescent="0.25">
      <c r="A367">
        <v>2738</v>
      </c>
      <c r="B367" t="s">
        <v>438</v>
      </c>
      <c r="C367" t="s">
        <v>492</v>
      </c>
      <c r="D367" t="s">
        <v>304</v>
      </c>
      <c r="E367" t="s">
        <v>15</v>
      </c>
      <c r="F367">
        <v>1</v>
      </c>
      <c r="G367">
        <v>126</v>
      </c>
    </row>
    <row r="368" spans="1:7" x14ac:dyDescent="0.25">
      <c r="A368">
        <v>2738</v>
      </c>
      <c r="B368" t="s">
        <v>438</v>
      </c>
      <c r="C368" t="s">
        <v>493</v>
      </c>
      <c r="D368" t="s">
        <v>319</v>
      </c>
      <c r="E368" t="s">
        <v>15</v>
      </c>
      <c r="F368">
        <v>1</v>
      </c>
      <c r="G368">
        <v>179</v>
      </c>
    </row>
    <row r="369" spans="1:7" x14ac:dyDescent="0.25">
      <c r="A369">
        <v>9053</v>
      </c>
      <c r="B369" t="s">
        <v>576</v>
      </c>
      <c r="C369" t="s">
        <v>494</v>
      </c>
      <c r="D369" t="s">
        <v>318</v>
      </c>
      <c r="E369" t="s">
        <v>45</v>
      </c>
      <c r="F369">
        <v>1</v>
      </c>
      <c r="G369">
        <v>63</v>
      </c>
    </row>
    <row r="370" spans="1:7" x14ac:dyDescent="0.25">
      <c r="A370">
        <v>2738</v>
      </c>
      <c r="B370" t="s">
        <v>438</v>
      </c>
      <c r="C370" t="s">
        <v>494</v>
      </c>
      <c r="D370" t="s">
        <v>318</v>
      </c>
      <c r="E370" t="s">
        <v>15</v>
      </c>
      <c r="F370">
        <v>1</v>
      </c>
      <c r="G370">
        <v>102</v>
      </c>
    </row>
    <row r="371" spans="1:7" x14ac:dyDescent="0.25">
      <c r="A371">
        <v>2738</v>
      </c>
      <c r="B371" t="s">
        <v>438</v>
      </c>
      <c r="C371" t="s">
        <v>495</v>
      </c>
      <c r="D371" t="s">
        <v>317</v>
      </c>
      <c r="E371" t="s">
        <v>15</v>
      </c>
      <c r="F371">
        <v>1</v>
      </c>
      <c r="G371">
        <v>221</v>
      </c>
    </row>
    <row r="372" spans="1:7" x14ac:dyDescent="0.25">
      <c r="A372">
        <v>4855</v>
      </c>
      <c r="B372" t="s">
        <v>653</v>
      </c>
      <c r="C372" t="s">
        <v>496</v>
      </c>
      <c r="D372" t="s">
        <v>315</v>
      </c>
      <c r="E372" t="s">
        <v>25</v>
      </c>
      <c r="F372">
        <v>1</v>
      </c>
      <c r="G372">
        <v>12</v>
      </c>
    </row>
    <row r="373" spans="1:7" x14ac:dyDescent="0.25">
      <c r="A373">
        <v>2283</v>
      </c>
      <c r="B373" t="s">
        <v>582</v>
      </c>
      <c r="C373" t="s">
        <v>496</v>
      </c>
      <c r="D373" t="s">
        <v>315</v>
      </c>
      <c r="E373" t="s">
        <v>7</v>
      </c>
      <c r="F373">
        <v>1</v>
      </c>
      <c r="G373">
        <v>33</v>
      </c>
    </row>
    <row r="374" spans="1:7" x14ac:dyDescent="0.25">
      <c r="A374">
        <v>2738</v>
      </c>
      <c r="B374" t="s">
        <v>438</v>
      </c>
      <c r="C374" t="s">
        <v>496</v>
      </c>
      <c r="D374" t="s">
        <v>315</v>
      </c>
      <c r="E374" t="s">
        <v>15</v>
      </c>
      <c r="F374">
        <v>1</v>
      </c>
      <c r="G374">
        <v>151</v>
      </c>
    </row>
    <row r="375" spans="1:7" x14ac:dyDescent="0.25">
      <c r="A375">
        <v>9201</v>
      </c>
      <c r="B375" t="s">
        <v>579</v>
      </c>
      <c r="C375" t="s">
        <v>496</v>
      </c>
      <c r="D375" t="s">
        <v>315</v>
      </c>
      <c r="E375" t="s">
        <v>15</v>
      </c>
      <c r="F375">
        <v>1</v>
      </c>
      <c r="G375">
        <v>5</v>
      </c>
    </row>
    <row r="376" spans="1:7" x14ac:dyDescent="0.25">
      <c r="A376">
        <v>9053</v>
      </c>
      <c r="B376" t="s">
        <v>576</v>
      </c>
      <c r="C376" t="s">
        <v>674</v>
      </c>
      <c r="D376" t="s">
        <v>320</v>
      </c>
      <c r="E376" t="s">
        <v>45</v>
      </c>
      <c r="F376">
        <v>1</v>
      </c>
      <c r="G376">
        <v>160</v>
      </c>
    </row>
    <row r="377" spans="1:7" x14ac:dyDescent="0.25">
      <c r="A377">
        <v>9053</v>
      </c>
      <c r="B377" t="s">
        <v>576</v>
      </c>
      <c r="C377" t="s">
        <v>497</v>
      </c>
      <c r="D377" t="s">
        <v>316</v>
      </c>
      <c r="E377" t="s">
        <v>45</v>
      </c>
      <c r="F377">
        <v>1</v>
      </c>
      <c r="G377">
        <v>13</v>
      </c>
    </row>
    <row r="378" spans="1:7" x14ac:dyDescent="0.25">
      <c r="A378">
        <v>2738</v>
      </c>
      <c r="B378" t="s">
        <v>438</v>
      </c>
      <c r="C378" t="s">
        <v>497</v>
      </c>
      <c r="D378" t="s">
        <v>316</v>
      </c>
      <c r="E378" t="s">
        <v>15</v>
      </c>
      <c r="F378">
        <v>1</v>
      </c>
      <c r="G378">
        <v>105</v>
      </c>
    </row>
    <row r="379" spans="1:7" x14ac:dyDescent="0.25">
      <c r="A379">
        <v>9053</v>
      </c>
      <c r="B379" t="s">
        <v>576</v>
      </c>
      <c r="C379" t="s">
        <v>498</v>
      </c>
      <c r="D379" t="s">
        <v>328</v>
      </c>
      <c r="E379" t="s">
        <v>45</v>
      </c>
      <c r="F379">
        <v>1</v>
      </c>
      <c r="G379">
        <v>14</v>
      </c>
    </row>
    <row r="380" spans="1:7" x14ac:dyDescent="0.25">
      <c r="A380">
        <v>9188</v>
      </c>
      <c r="B380" t="s">
        <v>575</v>
      </c>
      <c r="C380" t="s">
        <v>498</v>
      </c>
      <c r="D380" t="s">
        <v>328</v>
      </c>
      <c r="E380" t="s">
        <v>15</v>
      </c>
      <c r="F380">
        <v>1</v>
      </c>
      <c r="G380">
        <v>90</v>
      </c>
    </row>
    <row r="381" spans="1:7" x14ac:dyDescent="0.25">
      <c r="A381">
        <v>2738</v>
      </c>
      <c r="B381" t="s">
        <v>438</v>
      </c>
      <c r="C381" t="s">
        <v>498</v>
      </c>
      <c r="D381" t="s">
        <v>328</v>
      </c>
      <c r="E381" t="s">
        <v>15</v>
      </c>
      <c r="F381">
        <v>1</v>
      </c>
      <c r="G381">
        <v>114</v>
      </c>
    </row>
    <row r="382" spans="1:7" x14ac:dyDescent="0.25">
      <c r="A382">
        <v>2736</v>
      </c>
      <c r="B382" t="s">
        <v>62</v>
      </c>
      <c r="C382" t="s">
        <v>675</v>
      </c>
      <c r="D382" t="s">
        <v>322</v>
      </c>
      <c r="E382" t="s">
        <v>15</v>
      </c>
      <c r="F382">
        <v>1</v>
      </c>
      <c r="G382">
        <v>154</v>
      </c>
    </row>
    <row r="383" spans="1:7" x14ac:dyDescent="0.25">
      <c r="A383">
        <v>4808</v>
      </c>
      <c r="B383" t="s">
        <v>651</v>
      </c>
      <c r="C383" t="s">
        <v>675</v>
      </c>
      <c r="D383" t="s">
        <v>322</v>
      </c>
      <c r="E383" t="s">
        <v>25</v>
      </c>
      <c r="F383">
        <v>1</v>
      </c>
      <c r="G383">
        <v>28</v>
      </c>
    </row>
    <row r="384" spans="1:7" x14ac:dyDescent="0.25">
      <c r="A384">
        <v>2283</v>
      </c>
      <c r="B384" t="s">
        <v>582</v>
      </c>
      <c r="C384" t="s">
        <v>675</v>
      </c>
      <c r="D384" t="s">
        <v>322</v>
      </c>
      <c r="E384" t="s">
        <v>7</v>
      </c>
      <c r="F384">
        <v>1</v>
      </c>
      <c r="G384">
        <v>24</v>
      </c>
    </row>
    <row r="385" spans="1:7" x14ac:dyDescent="0.25">
      <c r="A385">
        <v>9034</v>
      </c>
      <c r="B385" t="s">
        <v>605</v>
      </c>
      <c r="C385" t="s">
        <v>676</v>
      </c>
      <c r="D385" t="s">
        <v>329</v>
      </c>
      <c r="E385" t="s">
        <v>15</v>
      </c>
      <c r="F385">
        <v>1</v>
      </c>
      <c r="G385">
        <v>181</v>
      </c>
    </row>
    <row r="386" spans="1:7" x14ac:dyDescent="0.25">
      <c r="A386">
        <v>9237</v>
      </c>
      <c r="B386" t="s">
        <v>633</v>
      </c>
      <c r="C386" t="s">
        <v>677</v>
      </c>
      <c r="D386" t="s">
        <v>324</v>
      </c>
      <c r="E386" t="s">
        <v>15</v>
      </c>
      <c r="F386">
        <v>1</v>
      </c>
      <c r="G386">
        <v>14</v>
      </c>
    </row>
    <row r="387" spans="1:7" x14ac:dyDescent="0.25">
      <c r="A387">
        <v>4855</v>
      </c>
      <c r="B387" t="s">
        <v>653</v>
      </c>
      <c r="C387" t="s">
        <v>677</v>
      </c>
      <c r="D387" t="s">
        <v>324</v>
      </c>
      <c r="E387" t="s">
        <v>25</v>
      </c>
      <c r="F387">
        <v>1</v>
      </c>
      <c r="G387">
        <v>39</v>
      </c>
    </row>
    <row r="388" spans="1:7" x14ac:dyDescent="0.25">
      <c r="A388">
        <v>2543</v>
      </c>
      <c r="B388" t="s">
        <v>588</v>
      </c>
      <c r="C388" t="s">
        <v>677</v>
      </c>
      <c r="D388" t="s">
        <v>324</v>
      </c>
      <c r="E388" t="s">
        <v>7</v>
      </c>
      <c r="F388">
        <v>1</v>
      </c>
      <c r="G388">
        <v>13</v>
      </c>
    </row>
    <row r="389" spans="1:7" x14ac:dyDescent="0.25">
      <c r="A389">
        <v>9034</v>
      </c>
      <c r="B389" t="s">
        <v>605</v>
      </c>
      <c r="C389" t="s">
        <v>677</v>
      </c>
      <c r="D389" t="s">
        <v>324</v>
      </c>
      <c r="E389" t="s">
        <v>15</v>
      </c>
      <c r="F389">
        <v>1</v>
      </c>
      <c r="G389">
        <v>126</v>
      </c>
    </row>
    <row r="390" spans="1:7" x14ac:dyDescent="0.25">
      <c r="A390">
        <v>4855</v>
      </c>
      <c r="B390" t="s">
        <v>653</v>
      </c>
      <c r="C390" t="s">
        <v>499</v>
      </c>
      <c r="D390" t="s">
        <v>327</v>
      </c>
      <c r="E390" t="s">
        <v>25</v>
      </c>
      <c r="F390">
        <v>1</v>
      </c>
      <c r="G390">
        <v>60</v>
      </c>
    </row>
    <row r="391" spans="1:7" x14ac:dyDescent="0.25">
      <c r="A391">
        <v>2738</v>
      </c>
      <c r="B391" t="s">
        <v>438</v>
      </c>
      <c r="C391" t="s">
        <v>499</v>
      </c>
      <c r="D391" t="s">
        <v>327</v>
      </c>
      <c r="E391" t="s">
        <v>15</v>
      </c>
      <c r="F391">
        <v>1</v>
      </c>
      <c r="G391">
        <v>135</v>
      </c>
    </row>
    <row r="392" spans="1:7" x14ac:dyDescent="0.25">
      <c r="A392">
        <v>9034</v>
      </c>
      <c r="B392" t="s">
        <v>605</v>
      </c>
      <c r="C392" t="s">
        <v>678</v>
      </c>
      <c r="D392" t="s">
        <v>330</v>
      </c>
      <c r="E392" t="s">
        <v>15</v>
      </c>
      <c r="F392">
        <v>1</v>
      </c>
      <c r="G392">
        <v>128</v>
      </c>
    </row>
    <row r="393" spans="1:7" x14ac:dyDescent="0.25">
      <c r="A393">
        <v>9053</v>
      </c>
      <c r="B393" t="s">
        <v>576</v>
      </c>
      <c r="C393" t="s">
        <v>679</v>
      </c>
      <c r="D393" t="s">
        <v>321</v>
      </c>
      <c r="E393" t="s">
        <v>45</v>
      </c>
      <c r="F393">
        <v>1</v>
      </c>
      <c r="G393">
        <v>85</v>
      </c>
    </row>
    <row r="394" spans="1:7" x14ac:dyDescent="0.25">
      <c r="A394">
        <v>9188</v>
      </c>
      <c r="B394" t="s">
        <v>575</v>
      </c>
      <c r="C394" t="s">
        <v>679</v>
      </c>
      <c r="D394" t="s">
        <v>321</v>
      </c>
      <c r="E394" t="s">
        <v>15</v>
      </c>
      <c r="F394">
        <v>1</v>
      </c>
      <c r="G394">
        <v>61</v>
      </c>
    </row>
    <row r="395" spans="1:7" x14ac:dyDescent="0.25">
      <c r="A395">
        <v>2283</v>
      </c>
      <c r="B395" t="s">
        <v>582</v>
      </c>
      <c r="C395" t="s">
        <v>679</v>
      </c>
      <c r="D395" t="s">
        <v>321</v>
      </c>
      <c r="E395" t="s">
        <v>7</v>
      </c>
      <c r="F395">
        <v>1</v>
      </c>
      <c r="G395">
        <v>10</v>
      </c>
    </row>
    <row r="396" spans="1:7" x14ac:dyDescent="0.25">
      <c r="A396">
        <v>4808</v>
      </c>
      <c r="B396" t="s">
        <v>651</v>
      </c>
      <c r="C396" t="s">
        <v>679</v>
      </c>
      <c r="D396" t="s">
        <v>321</v>
      </c>
      <c r="E396" t="s">
        <v>25</v>
      </c>
      <c r="F396">
        <v>1</v>
      </c>
      <c r="G396">
        <v>34</v>
      </c>
    </row>
    <row r="397" spans="1:7" x14ac:dyDescent="0.25">
      <c r="A397">
        <v>2553</v>
      </c>
      <c r="B397" t="s">
        <v>589</v>
      </c>
      <c r="C397" t="s">
        <v>500</v>
      </c>
      <c r="D397" t="s">
        <v>325</v>
      </c>
      <c r="E397" t="s">
        <v>7</v>
      </c>
      <c r="F397">
        <v>1</v>
      </c>
      <c r="G397">
        <v>6</v>
      </c>
    </row>
    <row r="398" spans="1:7" x14ac:dyDescent="0.25">
      <c r="A398">
        <v>2738</v>
      </c>
      <c r="B398" t="s">
        <v>438</v>
      </c>
      <c r="C398" t="s">
        <v>500</v>
      </c>
      <c r="D398" t="s">
        <v>325</v>
      </c>
      <c r="E398" t="s">
        <v>15</v>
      </c>
      <c r="F398">
        <v>1</v>
      </c>
      <c r="G398">
        <v>148</v>
      </c>
    </row>
    <row r="399" spans="1:7" x14ac:dyDescent="0.25">
      <c r="A399">
        <v>9237</v>
      </c>
      <c r="B399" t="s">
        <v>633</v>
      </c>
      <c r="C399" t="s">
        <v>500</v>
      </c>
      <c r="D399" t="s">
        <v>325</v>
      </c>
      <c r="E399" t="s">
        <v>15</v>
      </c>
      <c r="F399">
        <v>1</v>
      </c>
      <c r="G399">
        <v>19</v>
      </c>
    </row>
    <row r="400" spans="1:7" x14ac:dyDescent="0.25">
      <c r="A400">
        <v>2738</v>
      </c>
      <c r="B400" t="s">
        <v>438</v>
      </c>
      <c r="C400" t="s">
        <v>501</v>
      </c>
      <c r="D400" t="s">
        <v>323</v>
      </c>
      <c r="E400" t="s">
        <v>15</v>
      </c>
      <c r="F400">
        <v>1</v>
      </c>
      <c r="G400">
        <v>96</v>
      </c>
    </row>
    <row r="401" spans="1:7" x14ac:dyDescent="0.25">
      <c r="A401">
        <v>4855</v>
      </c>
      <c r="B401" t="s">
        <v>653</v>
      </c>
      <c r="C401" t="s">
        <v>501</v>
      </c>
      <c r="D401" t="s">
        <v>323</v>
      </c>
      <c r="E401" t="s">
        <v>25</v>
      </c>
      <c r="F401">
        <v>1</v>
      </c>
      <c r="G401">
        <v>45</v>
      </c>
    </row>
    <row r="402" spans="1:7" x14ac:dyDescent="0.25">
      <c r="A402">
        <v>2543</v>
      </c>
      <c r="B402" t="s">
        <v>588</v>
      </c>
      <c r="C402" t="s">
        <v>501</v>
      </c>
      <c r="D402" t="s">
        <v>323</v>
      </c>
      <c r="E402" t="s">
        <v>7</v>
      </c>
      <c r="F402">
        <v>1</v>
      </c>
      <c r="G402">
        <v>11</v>
      </c>
    </row>
    <row r="403" spans="1:7" x14ac:dyDescent="0.25">
      <c r="A403">
        <v>9201</v>
      </c>
      <c r="B403" t="s">
        <v>579</v>
      </c>
      <c r="C403" t="s">
        <v>501</v>
      </c>
      <c r="D403" t="s">
        <v>323</v>
      </c>
      <c r="E403" t="s">
        <v>15</v>
      </c>
      <c r="F403">
        <v>1</v>
      </c>
      <c r="G403">
        <v>10</v>
      </c>
    </row>
    <row r="404" spans="1:7" x14ac:dyDescent="0.25">
      <c r="A404">
        <v>9201</v>
      </c>
      <c r="B404" t="s">
        <v>579</v>
      </c>
      <c r="C404" t="s">
        <v>502</v>
      </c>
      <c r="D404" t="s">
        <v>326</v>
      </c>
      <c r="E404" t="s">
        <v>15</v>
      </c>
      <c r="F404">
        <v>1</v>
      </c>
      <c r="G404">
        <v>60</v>
      </c>
    </row>
    <row r="405" spans="1:7" x14ac:dyDescent="0.25">
      <c r="A405">
        <v>2738</v>
      </c>
      <c r="B405" t="s">
        <v>438</v>
      </c>
      <c r="C405" t="s">
        <v>502</v>
      </c>
      <c r="D405" t="s">
        <v>326</v>
      </c>
      <c r="E405" t="s">
        <v>15</v>
      </c>
      <c r="F405">
        <v>1</v>
      </c>
      <c r="G405">
        <v>123</v>
      </c>
    </row>
    <row r="406" spans="1:7" x14ac:dyDescent="0.25">
      <c r="A406">
        <v>9238</v>
      </c>
      <c r="B406" t="s">
        <v>642</v>
      </c>
      <c r="C406" t="s">
        <v>502</v>
      </c>
      <c r="D406" t="s">
        <v>326</v>
      </c>
      <c r="E406" t="s">
        <v>15</v>
      </c>
      <c r="F406">
        <v>1</v>
      </c>
      <c r="G406">
        <v>8</v>
      </c>
    </row>
    <row r="407" spans="1:7" x14ac:dyDescent="0.25">
      <c r="A407">
        <v>4855</v>
      </c>
      <c r="B407" t="s">
        <v>653</v>
      </c>
      <c r="C407" t="s">
        <v>503</v>
      </c>
      <c r="D407" t="s">
        <v>341</v>
      </c>
      <c r="E407" t="s">
        <v>25</v>
      </c>
      <c r="F407">
        <v>1</v>
      </c>
      <c r="G407">
        <v>24</v>
      </c>
    </row>
    <row r="408" spans="1:7" x14ac:dyDescent="0.25">
      <c r="A408">
        <v>2738</v>
      </c>
      <c r="B408" t="s">
        <v>438</v>
      </c>
      <c r="C408" t="s">
        <v>503</v>
      </c>
      <c r="D408" t="s">
        <v>341</v>
      </c>
      <c r="E408" t="s">
        <v>15</v>
      </c>
      <c r="F408">
        <v>1</v>
      </c>
      <c r="G408">
        <v>125</v>
      </c>
    </row>
    <row r="409" spans="1:7" x14ac:dyDescent="0.25">
      <c r="A409">
        <v>9201</v>
      </c>
      <c r="B409" t="s">
        <v>579</v>
      </c>
      <c r="C409" t="s">
        <v>503</v>
      </c>
      <c r="D409" t="s">
        <v>341</v>
      </c>
      <c r="E409" t="s">
        <v>15</v>
      </c>
      <c r="F409">
        <v>1</v>
      </c>
      <c r="G409">
        <v>30</v>
      </c>
    </row>
    <row r="410" spans="1:7" x14ac:dyDescent="0.25">
      <c r="A410">
        <v>2738</v>
      </c>
      <c r="B410" t="s">
        <v>438</v>
      </c>
      <c r="C410" t="s">
        <v>504</v>
      </c>
      <c r="D410" t="s">
        <v>340</v>
      </c>
      <c r="E410" t="s">
        <v>15</v>
      </c>
      <c r="F410">
        <v>1</v>
      </c>
      <c r="G410">
        <v>122</v>
      </c>
    </row>
    <row r="411" spans="1:7" x14ac:dyDescent="0.25">
      <c r="A411">
        <v>9188</v>
      </c>
      <c r="B411" t="s">
        <v>575</v>
      </c>
      <c r="C411" t="s">
        <v>505</v>
      </c>
      <c r="D411" t="s">
        <v>339</v>
      </c>
      <c r="E411" t="s">
        <v>15</v>
      </c>
      <c r="F411">
        <v>1</v>
      </c>
      <c r="G411">
        <v>73</v>
      </c>
    </row>
    <row r="412" spans="1:7" x14ac:dyDescent="0.25">
      <c r="A412">
        <v>9036</v>
      </c>
      <c r="B412" t="s">
        <v>610</v>
      </c>
      <c r="C412" t="s">
        <v>505</v>
      </c>
      <c r="D412" t="s">
        <v>339</v>
      </c>
      <c r="E412" t="s">
        <v>15</v>
      </c>
      <c r="F412">
        <v>1</v>
      </c>
      <c r="G412">
        <v>25</v>
      </c>
    </row>
    <row r="413" spans="1:7" x14ac:dyDescent="0.25">
      <c r="A413">
        <v>2738</v>
      </c>
      <c r="B413" t="s">
        <v>438</v>
      </c>
      <c r="C413" t="s">
        <v>505</v>
      </c>
      <c r="D413" t="s">
        <v>339</v>
      </c>
      <c r="E413" t="s">
        <v>15</v>
      </c>
      <c r="F413">
        <v>1</v>
      </c>
      <c r="G413">
        <v>112</v>
      </c>
    </row>
    <row r="414" spans="1:7" x14ac:dyDescent="0.25">
      <c r="A414">
        <v>9053</v>
      </c>
      <c r="B414" t="s">
        <v>576</v>
      </c>
      <c r="C414" t="s">
        <v>506</v>
      </c>
      <c r="D414" t="s">
        <v>331</v>
      </c>
      <c r="E414" t="s">
        <v>45</v>
      </c>
      <c r="F414">
        <v>1</v>
      </c>
      <c r="G414">
        <v>25</v>
      </c>
    </row>
    <row r="415" spans="1:7" x14ac:dyDescent="0.25">
      <c r="A415">
        <v>2283</v>
      </c>
      <c r="B415" t="s">
        <v>582</v>
      </c>
      <c r="C415" t="s">
        <v>506</v>
      </c>
      <c r="D415" t="s">
        <v>331</v>
      </c>
      <c r="E415" t="s">
        <v>7</v>
      </c>
      <c r="F415">
        <v>1</v>
      </c>
      <c r="G415">
        <v>74</v>
      </c>
    </row>
    <row r="416" spans="1:7" x14ac:dyDescent="0.25">
      <c r="A416">
        <v>2736</v>
      </c>
      <c r="B416" t="s">
        <v>62</v>
      </c>
      <c r="C416" t="s">
        <v>506</v>
      </c>
      <c r="D416" t="s">
        <v>331</v>
      </c>
      <c r="E416" t="s">
        <v>15</v>
      </c>
      <c r="F416">
        <v>1</v>
      </c>
      <c r="G416">
        <v>92</v>
      </c>
    </row>
    <row r="417" spans="1:7" x14ac:dyDescent="0.25">
      <c r="A417">
        <v>2738</v>
      </c>
      <c r="B417" t="s">
        <v>438</v>
      </c>
      <c r="C417" t="s">
        <v>506</v>
      </c>
      <c r="D417" t="s">
        <v>331</v>
      </c>
      <c r="E417" t="s">
        <v>15</v>
      </c>
      <c r="F417">
        <v>1</v>
      </c>
      <c r="G417">
        <v>14</v>
      </c>
    </row>
    <row r="418" spans="1:7" x14ac:dyDescent="0.25">
      <c r="A418">
        <v>9053</v>
      </c>
      <c r="B418" t="s">
        <v>576</v>
      </c>
      <c r="C418" t="s">
        <v>507</v>
      </c>
      <c r="D418" t="s">
        <v>334</v>
      </c>
      <c r="E418" t="s">
        <v>45</v>
      </c>
      <c r="F418">
        <v>1</v>
      </c>
      <c r="G418">
        <v>14</v>
      </c>
    </row>
    <row r="419" spans="1:7" x14ac:dyDescent="0.25">
      <c r="A419">
        <v>9033</v>
      </c>
      <c r="B419" t="s">
        <v>618</v>
      </c>
      <c r="C419" t="s">
        <v>507</v>
      </c>
      <c r="D419" t="s">
        <v>334</v>
      </c>
      <c r="E419" t="s">
        <v>15</v>
      </c>
      <c r="F419">
        <v>1</v>
      </c>
      <c r="G419">
        <v>14</v>
      </c>
    </row>
    <row r="420" spans="1:7" x14ac:dyDescent="0.25">
      <c r="A420">
        <v>4855</v>
      </c>
      <c r="B420" t="s">
        <v>653</v>
      </c>
      <c r="C420" t="s">
        <v>507</v>
      </c>
      <c r="D420" t="s">
        <v>334</v>
      </c>
      <c r="E420" t="s">
        <v>25</v>
      </c>
      <c r="F420">
        <v>1</v>
      </c>
      <c r="G420">
        <v>36</v>
      </c>
    </row>
    <row r="421" spans="1:7" x14ac:dyDescent="0.25">
      <c r="A421">
        <v>2736</v>
      </c>
      <c r="B421" t="s">
        <v>62</v>
      </c>
      <c r="C421" t="s">
        <v>507</v>
      </c>
      <c r="D421" t="s">
        <v>334</v>
      </c>
      <c r="E421" t="s">
        <v>15</v>
      </c>
      <c r="F421">
        <v>1</v>
      </c>
      <c r="G421">
        <v>114</v>
      </c>
    </row>
    <row r="422" spans="1:7" x14ac:dyDescent="0.25">
      <c r="A422">
        <v>2738</v>
      </c>
      <c r="B422" t="s">
        <v>438</v>
      </c>
      <c r="C422" t="s">
        <v>507</v>
      </c>
      <c r="D422" t="s">
        <v>334</v>
      </c>
      <c r="E422" t="s">
        <v>15</v>
      </c>
      <c r="F422">
        <v>1</v>
      </c>
      <c r="G422">
        <v>28</v>
      </c>
    </row>
    <row r="423" spans="1:7" x14ac:dyDescent="0.25">
      <c r="A423">
        <v>9188</v>
      </c>
      <c r="B423" t="s">
        <v>575</v>
      </c>
      <c r="C423" t="s">
        <v>508</v>
      </c>
      <c r="D423" t="s">
        <v>333</v>
      </c>
      <c r="E423" t="s">
        <v>15</v>
      </c>
      <c r="F423">
        <v>1</v>
      </c>
      <c r="G423">
        <v>75</v>
      </c>
    </row>
    <row r="424" spans="1:7" x14ac:dyDescent="0.25">
      <c r="A424">
        <v>2738</v>
      </c>
      <c r="B424" t="s">
        <v>438</v>
      </c>
      <c r="C424" t="s">
        <v>508</v>
      </c>
      <c r="D424" t="s">
        <v>333</v>
      </c>
      <c r="E424" t="s">
        <v>15</v>
      </c>
      <c r="F424">
        <v>1</v>
      </c>
      <c r="G424">
        <v>125</v>
      </c>
    </row>
    <row r="425" spans="1:7" x14ac:dyDescent="0.25">
      <c r="A425">
        <v>2736</v>
      </c>
      <c r="B425" t="s">
        <v>62</v>
      </c>
      <c r="C425" t="s">
        <v>508</v>
      </c>
      <c r="D425" t="s">
        <v>333</v>
      </c>
      <c r="E425" t="s">
        <v>15</v>
      </c>
      <c r="F425">
        <v>1</v>
      </c>
      <c r="G425">
        <v>17</v>
      </c>
    </row>
    <row r="426" spans="1:7" x14ac:dyDescent="0.25">
      <c r="A426">
        <v>9188</v>
      </c>
      <c r="B426" t="s">
        <v>575</v>
      </c>
      <c r="C426" t="s">
        <v>508</v>
      </c>
      <c r="D426" t="s">
        <v>333</v>
      </c>
      <c r="E426" t="s">
        <v>15</v>
      </c>
      <c r="F426">
        <v>1</v>
      </c>
      <c r="G426">
        <v>75</v>
      </c>
    </row>
    <row r="427" spans="1:7" x14ac:dyDescent="0.25">
      <c r="A427">
        <v>2738</v>
      </c>
      <c r="B427" t="s">
        <v>438</v>
      </c>
      <c r="C427" t="s">
        <v>508</v>
      </c>
      <c r="D427" t="s">
        <v>333</v>
      </c>
      <c r="E427" t="s">
        <v>15</v>
      </c>
      <c r="F427">
        <v>1</v>
      </c>
      <c r="G427">
        <v>125</v>
      </c>
    </row>
    <row r="428" spans="1:7" x14ac:dyDescent="0.25">
      <c r="A428">
        <v>2736</v>
      </c>
      <c r="B428" t="s">
        <v>62</v>
      </c>
      <c r="C428" t="s">
        <v>508</v>
      </c>
      <c r="D428" t="s">
        <v>333</v>
      </c>
      <c r="E428" t="s">
        <v>15</v>
      </c>
      <c r="F428">
        <v>1</v>
      </c>
      <c r="G428">
        <v>17</v>
      </c>
    </row>
    <row r="429" spans="1:7" x14ac:dyDescent="0.25">
      <c r="A429">
        <v>2738</v>
      </c>
      <c r="B429" t="s">
        <v>438</v>
      </c>
      <c r="C429" t="s">
        <v>509</v>
      </c>
      <c r="D429" t="s">
        <v>338</v>
      </c>
      <c r="E429" t="s">
        <v>15</v>
      </c>
      <c r="F429">
        <v>1</v>
      </c>
      <c r="G429">
        <v>207</v>
      </c>
    </row>
    <row r="430" spans="1:7" x14ac:dyDescent="0.25">
      <c r="A430">
        <v>2738</v>
      </c>
      <c r="B430" t="s">
        <v>438</v>
      </c>
      <c r="C430" t="s">
        <v>510</v>
      </c>
      <c r="D430" t="s">
        <v>337</v>
      </c>
      <c r="E430" t="s">
        <v>15</v>
      </c>
      <c r="F430">
        <v>1</v>
      </c>
      <c r="G430">
        <v>130</v>
      </c>
    </row>
    <row r="431" spans="1:7" x14ac:dyDescent="0.25">
      <c r="A431">
        <v>2738</v>
      </c>
      <c r="B431" t="s">
        <v>438</v>
      </c>
      <c r="C431" t="s">
        <v>511</v>
      </c>
      <c r="D431" t="s">
        <v>336</v>
      </c>
      <c r="E431" t="s">
        <v>15</v>
      </c>
      <c r="F431">
        <v>1</v>
      </c>
      <c r="G431">
        <v>160</v>
      </c>
    </row>
    <row r="432" spans="1:7" x14ac:dyDescent="0.25">
      <c r="A432">
        <v>9188</v>
      </c>
      <c r="B432" t="s">
        <v>575</v>
      </c>
      <c r="C432" t="s">
        <v>511</v>
      </c>
      <c r="D432" t="s">
        <v>336</v>
      </c>
      <c r="E432" t="s">
        <v>15</v>
      </c>
      <c r="F432">
        <v>1</v>
      </c>
      <c r="G432">
        <v>33</v>
      </c>
    </row>
    <row r="433" spans="1:7" x14ac:dyDescent="0.25">
      <c r="A433">
        <v>2738</v>
      </c>
      <c r="B433" t="s">
        <v>438</v>
      </c>
      <c r="C433" t="s">
        <v>512</v>
      </c>
      <c r="D433" t="s">
        <v>332</v>
      </c>
      <c r="E433" t="s">
        <v>15</v>
      </c>
      <c r="F433">
        <v>1</v>
      </c>
      <c r="G433">
        <v>48</v>
      </c>
    </row>
    <row r="434" spans="1:7" x14ac:dyDescent="0.25">
      <c r="A434">
        <v>9053</v>
      </c>
      <c r="B434" t="s">
        <v>576</v>
      </c>
      <c r="C434" t="s">
        <v>512</v>
      </c>
      <c r="D434" t="s">
        <v>332</v>
      </c>
      <c r="E434" t="s">
        <v>45</v>
      </c>
      <c r="F434">
        <v>1</v>
      </c>
      <c r="G434">
        <v>143</v>
      </c>
    </row>
    <row r="435" spans="1:7" x14ac:dyDescent="0.25">
      <c r="A435">
        <v>2285</v>
      </c>
      <c r="B435" t="s">
        <v>580</v>
      </c>
      <c r="C435" t="s">
        <v>512</v>
      </c>
      <c r="D435" t="s">
        <v>332</v>
      </c>
      <c r="E435" t="s">
        <v>7</v>
      </c>
      <c r="F435">
        <v>1</v>
      </c>
      <c r="G435">
        <v>8</v>
      </c>
    </row>
    <row r="436" spans="1:7" x14ac:dyDescent="0.25">
      <c r="A436">
        <v>9229</v>
      </c>
      <c r="B436" t="s">
        <v>194</v>
      </c>
      <c r="C436" t="s">
        <v>512</v>
      </c>
      <c r="D436" t="s">
        <v>332</v>
      </c>
      <c r="E436" t="s">
        <v>15</v>
      </c>
      <c r="F436">
        <v>1</v>
      </c>
      <c r="G436">
        <v>9</v>
      </c>
    </row>
    <row r="437" spans="1:7" x14ac:dyDescent="0.25">
      <c r="A437">
        <v>9033</v>
      </c>
      <c r="B437" t="s">
        <v>618</v>
      </c>
      <c r="C437" t="s">
        <v>513</v>
      </c>
      <c r="D437" t="s">
        <v>335</v>
      </c>
      <c r="E437" t="s">
        <v>15</v>
      </c>
      <c r="F437">
        <v>1</v>
      </c>
      <c r="G437">
        <v>20</v>
      </c>
    </row>
    <row r="438" spans="1:7" x14ac:dyDescent="0.25">
      <c r="A438">
        <v>2738</v>
      </c>
      <c r="B438" t="s">
        <v>438</v>
      </c>
      <c r="C438" t="s">
        <v>513</v>
      </c>
      <c r="D438" t="s">
        <v>335</v>
      </c>
      <c r="E438" t="s">
        <v>15</v>
      </c>
      <c r="F438">
        <v>1</v>
      </c>
      <c r="G438">
        <v>150</v>
      </c>
    </row>
    <row r="439" spans="1:7" x14ac:dyDescent="0.25">
      <c r="A439">
        <v>9201</v>
      </c>
      <c r="B439" t="s">
        <v>579</v>
      </c>
      <c r="C439" t="s">
        <v>513</v>
      </c>
      <c r="D439" t="s">
        <v>335</v>
      </c>
      <c r="E439" t="s">
        <v>15</v>
      </c>
      <c r="F439">
        <v>1</v>
      </c>
      <c r="G439">
        <v>15</v>
      </c>
    </row>
    <row r="440" spans="1:7" x14ac:dyDescent="0.25">
      <c r="A440">
        <v>9053</v>
      </c>
      <c r="B440" t="s">
        <v>576</v>
      </c>
      <c r="C440" t="s">
        <v>513</v>
      </c>
      <c r="D440" t="s">
        <v>335</v>
      </c>
      <c r="E440" t="s">
        <v>45</v>
      </c>
      <c r="F440">
        <v>1</v>
      </c>
      <c r="G440">
        <v>23</v>
      </c>
    </row>
    <row r="441" spans="1:7" x14ac:dyDescent="0.25">
      <c r="A441">
        <v>9188</v>
      </c>
      <c r="B441" t="s">
        <v>575</v>
      </c>
      <c r="C441" t="s">
        <v>514</v>
      </c>
      <c r="D441" t="s">
        <v>352</v>
      </c>
      <c r="E441" t="s">
        <v>15</v>
      </c>
      <c r="F441">
        <v>1</v>
      </c>
      <c r="G441">
        <v>71</v>
      </c>
    </row>
    <row r="442" spans="1:7" x14ac:dyDescent="0.25">
      <c r="A442">
        <v>9053</v>
      </c>
      <c r="B442" t="s">
        <v>576</v>
      </c>
      <c r="C442" t="s">
        <v>514</v>
      </c>
      <c r="D442" t="s">
        <v>352</v>
      </c>
      <c r="E442" t="s">
        <v>45</v>
      </c>
      <c r="F442">
        <v>1</v>
      </c>
      <c r="G442">
        <v>41</v>
      </c>
    </row>
    <row r="443" spans="1:7" x14ac:dyDescent="0.25">
      <c r="A443">
        <v>2738</v>
      </c>
      <c r="B443" t="s">
        <v>438</v>
      </c>
      <c r="C443" t="s">
        <v>514</v>
      </c>
      <c r="D443" t="s">
        <v>352</v>
      </c>
      <c r="E443" t="s">
        <v>15</v>
      </c>
      <c r="F443">
        <v>1</v>
      </c>
      <c r="G443">
        <v>130</v>
      </c>
    </row>
    <row r="444" spans="1:7" x14ac:dyDescent="0.25">
      <c r="A444">
        <v>2735</v>
      </c>
      <c r="B444" t="s">
        <v>631</v>
      </c>
      <c r="C444" t="s">
        <v>515</v>
      </c>
      <c r="D444" t="s">
        <v>344</v>
      </c>
      <c r="E444" t="s">
        <v>15</v>
      </c>
      <c r="F444">
        <v>1</v>
      </c>
      <c r="G444">
        <v>11</v>
      </c>
    </row>
    <row r="445" spans="1:7" x14ac:dyDescent="0.25">
      <c r="A445">
        <v>9237</v>
      </c>
      <c r="B445" t="s">
        <v>633</v>
      </c>
      <c r="C445" t="s">
        <v>515</v>
      </c>
      <c r="D445" t="s">
        <v>344</v>
      </c>
      <c r="E445" t="s">
        <v>15</v>
      </c>
      <c r="F445">
        <v>1</v>
      </c>
      <c r="G445">
        <v>2</v>
      </c>
    </row>
    <row r="446" spans="1:7" x14ac:dyDescent="0.25">
      <c r="A446">
        <v>9240</v>
      </c>
      <c r="B446" t="s">
        <v>54</v>
      </c>
      <c r="C446" t="s">
        <v>515</v>
      </c>
      <c r="D446" t="s">
        <v>344</v>
      </c>
      <c r="E446" t="s">
        <v>15</v>
      </c>
      <c r="F446">
        <v>1</v>
      </c>
      <c r="G446">
        <v>14</v>
      </c>
    </row>
    <row r="447" spans="1:7" x14ac:dyDescent="0.25">
      <c r="A447">
        <v>2283</v>
      </c>
      <c r="B447" t="s">
        <v>582</v>
      </c>
      <c r="C447" t="s">
        <v>515</v>
      </c>
      <c r="D447" t="s">
        <v>344</v>
      </c>
      <c r="E447" t="s">
        <v>7</v>
      </c>
      <c r="F447">
        <v>1</v>
      </c>
      <c r="G447">
        <v>29</v>
      </c>
    </row>
    <row r="448" spans="1:7" x14ac:dyDescent="0.25">
      <c r="A448">
        <v>4808</v>
      </c>
      <c r="B448" t="s">
        <v>651</v>
      </c>
      <c r="C448" t="s">
        <v>515</v>
      </c>
      <c r="D448" t="s">
        <v>344</v>
      </c>
      <c r="E448" t="s">
        <v>25</v>
      </c>
      <c r="F448">
        <v>1</v>
      </c>
      <c r="G448">
        <v>50</v>
      </c>
    </row>
    <row r="449" spans="1:7" x14ac:dyDescent="0.25">
      <c r="A449">
        <v>2738</v>
      </c>
      <c r="B449" t="s">
        <v>438</v>
      </c>
      <c r="C449" t="s">
        <v>515</v>
      </c>
      <c r="D449" t="s">
        <v>344</v>
      </c>
      <c r="E449" t="s">
        <v>15</v>
      </c>
      <c r="F449">
        <v>1</v>
      </c>
      <c r="G449">
        <v>111</v>
      </c>
    </row>
    <row r="450" spans="1:7" x14ac:dyDescent="0.25">
      <c r="A450">
        <v>2736</v>
      </c>
      <c r="B450" t="s">
        <v>62</v>
      </c>
      <c r="C450" t="s">
        <v>516</v>
      </c>
      <c r="D450" t="s">
        <v>346</v>
      </c>
      <c r="E450" t="s">
        <v>15</v>
      </c>
      <c r="F450">
        <v>1</v>
      </c>
      <c r="G450">
        <v>110</v>
      </c>
    </row>
    <row r="451" spans="1:7" x14ac:dyDescent="0.25">
      <c r="A451">
        <v>2738</v>
      </c>
      <c r="B451" t="s">
        <v>438</v>
      </c>
      <c r="C451" t="s">
        <v>516</v>
      </c>
      <c r="D451" t="s">
        <v>346</v>
      </c>
      <c r="E451" t="s">
        <v>15</v>
      </c>
      <c r="F451">
        <v>1</v>
      </c>
      <c r="G451">
        <v>127</v>
      </c>
    </row>
    <row r="452" spans="1:7" x14ac:dyDescent="0.25">
      <c r="A452">
        <v>4855</v>
      </c>
      <c r="B452" t="s">
        <v>653</v>
      </c>
      <c r="C452" t="s">
        <v>517</v>
      </c>
      <c r="D452" t="s">
        <v>345</v>
      </c>
      <c r="E452" t="s">
        <v>25</v>
      </c>
      <c r="F452">
        <v>1</v>
      </c>
      <c r="G452">
        <v>55</v>
      </c>
    </row>
    <row r="453" spans="1:7" x14ac:dyDescent="0.25">
      <c r="A453">
        <v>2738</v>
      </c>
      <c r="B453" t="s">
        <v>438</v>
      </c>
      <c r="C453" t="s">
        <v>517</v>
      </c>
      <c r="D453" t="s">
        <v>345</v>
      </c>
      <c r="E453" t="s">
        <v>15</v>
      </c>
      <c r="F453">
        <v>1</v>
      </c>
      <c r="G453">
        <v>148</v>
      </c>
    </row>
    <row r="454" spans="1:7" x14ac:dyDescent="0.25">
      <c r="A454">
        <v>2553</v>
      </c>
      <c r="B454" t="s">
        <v>589</v>
      </c>
      <c r="C454" t="s">
        <v>517</v>
      </c>
      <c r="D454" t="s">
        <v>345</v>
      </c>
      <c r="E454" t="s">
        <v>7</v>
      </c>
      <c r="F454">
        <v>1</v>
      </c>
      <c r="G454">
        <v>6</v>
      </c>
    </row>
    <row r="455" spans="1:7" x14ac:dyDescent="0.25">
      <c r="A455">
        <v>9188</v>
      </c>
      <c r="B455" t="s">
        <v>575</v>
      </c>
      <c r="C455" t="s">
        <v>518</v>
      </c>
      <c r="D455" t="s">
        <v>351</v>
      </c>
      <c r="E455" t="s">
        <v>15</v>
      </c>
      <c r="F455">
        <v>1</v>
      </c>
      <c r="G455">
        <v>25</v>
      </c>
    </row>
    <row r="456" spans="1:7" x14ac:dyDescent="0.25">
      <c r="A456">
        <v>2738</v>
      </c>
      <c r="B456" t="s">
        <v>438</v>
      </c>
      <c r="C456" t="s">
        <v>518</v>
      </c>
      <c r="D456" t="s">
        <v>351</v>
      </c>
      <c r="E456" t="s">
        <v>15</v>
      </c>
      <c r="F456">
        <v>1</v>
      </c>
      <c r="G456">
        <v>190</v>
      </c>
    </row>
    <row r="457" spans="1:7" x14ac:dyDescent="0.25">
      <c r="A457">
        <v>2738</v>
      </c>
      <c r="B457" t="s">
        <v>438</v>
      </c>
      <c r="C457" t="s">
        <v>519</v>
      </c>
      <c r="D457" t="s">
        <v>350</v>
      </c>
      <c r="E457" t="s">
        <v>15</v>
      </c>
      <c r="F457">
        <v>1</v>
      </c>
      <c r="G457">
        <v>103</v>
      </c>
    </row>
    <row r="458" spans="1:7" x14ac:dyDescent="0.25">
      <c r="A458">
        <v>9188</v>
      </c>
      <c r="B458" t="s">
        <v>575</v>
      </c>
      <c r="C458" t="s">
        <v>520</v>
      </c>
      <c r="D458" t="s">
        <v>347</v>
      </c>
      <c r="E458" t="s">
        <v>15</v>
      </c>
      <c r="F458">
        <v>1</v>
      </c>
      <c r="G458">
        <v>75</v>
      </c>
    </row>
    <row r="459" spans="1:7" x14ac:dyDescent="0.25">
      <c r="A459">
        <v>2738</v>
      </c>
      <c r="B459" t="s">
        <v>438</v>
      </c>
      <c r="C459" t="s">
        <v>520</v>
      </c>
      <c r="D459" t="s">
        <v>347</v>
      </c>
      <c r="E459" t="s">
        <v>15</v>
      </c>
      <c r="F459">
        <v>1</v>
      </c>
      <c r="G459">
        <v>121</v>
      </c>
    </row>
    <row r="460" spans="1:7" x14ac:dyDescent="0.25">
      <c r="A460">
        <v>2737</v>
      </c>
      <c r="B460" t="s">
        <v>630</v>
      </c>
      <c r="C460" t="s">
        <v>520</v>
      </c>
      <c r="D460" t="s">
        <v>347</v>
      </c>
      <c r="E460" t="s">
        <v>15</v>
      </c>
      <c r="F460">
        <v>1</v>
      </c>
      <c r="G460">
        <v>15</v>
      </c>
    </row>
    <row r="461" spans="1:7" x14ac:dyDescent="0.25">
      <c r="A461">
        <v>9188</v>
      </c>
      <c r="B461" t="s">
        <v>575</v>
      </c>
      <c r="C461" t="s">
        <v>680</v>
      </c>
      <c r="D461" t="s">
        <v>343</v>
      </c>
      <c r="E461" t="s">
        <v>15</v>
      </c>
      <c r="F461">
        <v>1</v>
      </c>
      <c r="G461">
        <v>146</v>
      </c>
    </row>
    <row r="462" spans="1:7" x14ac:dyDescent="0.25">
      <c r="A462">
        <v>2283</v>
      </c>
      <c r="B462" t="s">
        <v>582</v>
      </c>
      <c r="C462" t="s">
        <v>680</v>
      </c>
      <c r="D462" t="s">
        <v>343</v>
      </c>
      <c r="E462" t="s">
        <v>7</v>
      </c>
      <c r="F462">
        <v>1</v>
      </c>
      <c r="G462">
        <v>21</v>
      </c>
    </row>
    <row r="463" spans="1:7" x14ac:dyDescent="0.25">
      <c r="A463">
        <v>9201</v>
      </c>
      <c r="B463" t="s">
        <v>579</v>
      </c>
      <c r="C463" t="s">
        <v>680</v>
      </c>
      <c r="D463" t="s">
        <v>343</v>
      </c>
      <c r="E463" t="s">
        <v>15</v>
      </c>
      <c r="F463">
        <v>1</v>
      </c>
      <c r="G463">
        <v>23</v>
      </c>
    </row>
    <row r="464" spans="1:7" x14ac:dyDescent="0.25">
      <c r="A464">
        <v>9033</v>
      </c>
      <c r="B464" t="s">
        <v>618</v>
      </c>
      <c r="C464" t="s">
        <v>680</v>
      </c>
      <c r="D464" t="s">
        <v>343</v>
      </c>
      <c r="E464" t="s">
        <v>15</v>
      </c>
      <c r="F464">
        <v>1</v>
      </c>
      <c r="G464">
        <v>26</v>
      </c>
    </row>
    <row r="465" spans="1:7" x14ac:dyDescent="0.25">
      <c r="A465">
        <v>9188</v>
      </c>
      <c r="B465" t="s">
        <v>575</v>
      </c>
      <c r="C465" t="s">
        <v>521</v>
      </c>
      <c r="D465" t="s">
        <v>349</v>
      </c>
      <c r="E465" t="s">
        <v>15</v>
      </c>
      <c r="F465">
        <v>1</v>
      </c>
      <c r="G465">
        <v>133</v>
      </c>
    </row>
    <row r="466" spans="1:7" x14ac:dyDescent="0.25">
      <c r="A466">
        <v>9053</v>
      </c>
      <c r="B466" t="s">
        <v>576</v>
      </c>
      <c r="C466" t="s">
        <v>521</v>
      </c>
      <c r="D466" t="s">
        <v>349</v>
      </c>
      <c r="E466" t="s">
        <v>45</v>
      </c>
      <c r="F466">
        <v>1</v>
      </c>
      <c r="G466">
        <v>15</v>
      </c>
    </row>
    <row r="467" spans="1:7" x14ac:dyDescent="0.25">
      <c r="A467">
        <v>2738</v>
      </c>
      <c r="B467" t="s">
        <v>438</v>
      </c>
      <c r="C467" t="s">
        <v>521</v>
      </c>
      <c r="D467" t="s">
        <v>349</v>
      </c>
      <c r="E467" t="s">
        <v>15</v>
      </c>
      <c r="F467">
        <v>1</v>
      </c>
      <c r="G467">
        <v>90</v>
      </c>
    </row>
    <row r="468" spans="1:7" x14ac:dyDescent="0.25">
      <c r="A468">
        <v>2738</v>
      </c>
      <c r="B468" t="s">
        <v>438</v>
      </c>
      <c r="C468" t="s">
        <v>522</v>
      </c>
      <c r="D468" t="s">
        <v>348</v>
      </c>
      <c r="E468" t="s">
        <v>15</v>
      </c>
      <c r="F468">
        <v>1</v>
      </c>
      <c r="G468">
        <v>143</v>
      </c>
    </row>
    <row r="469" spans="1:7" x14ac:dyDescent="0.25">
      <c r="A469">
        <v>9053</v>
      </c>
      <c r="B469" t="s">
        <v>576</v>
      </c>
      <c r="C469" t="s">
        <v>522</v>
      </c>
      <c r="D469" t="s">
        <v>348</v>
      </c>
      <c r="E469" t="s">
        <v>45</v>
      </c>
      <c r="F469">
        <v>1</v>
      </c>
      <c r="G469">
        <v>86</v>
      </c>
    </row>
    <row r="470" spans="1:7" x14ac:dyDescent="0.25">
      <c r="A470">
        <v>2283</v>
      </c>
      <c r="B470" t="s">
        <v>582</v>
      </c>
      <c r="C470" t="s">
        <v>523</v>
      </c>
      <c r="D470" t="s">
        <v>342</v>
      </c>
      <c r="E470" t="s">
        <v>7</v>
      </c>
      <c r="F470">
        <v>1</v>
      </c>
      <c r="G470">
        <v>47</v>
      </c>
    </row>
    <row r="471" spans="1:7" x14ac:dyDescent="0.25">
      <c r="A471">
        <v>2543</v>
      </c>
      <c r="B471" t="s">
        <v>588</v>
      </c>
      <c r="C471" t="s">
        <v>523</v>
      </c>
      <c r="D471" t="s">
        <v>342</v>
      </c>
      <c r="E471" t="s">
        <v>7</v>
      </c>
      <c r="F471">
        <v>1</v>
      </c>
      <c r="G471">
        <v>21</v>
      </c>
    </row>
    <row r="472" spans="1:7" x14ac:dyDescent="0.25">
      <c r="A472">
        <v>2735</v>
      </c>
      <c r="B472" t="s">
        <v>631</v>
      </c>
      <c r="C472" t="s">
        <v>523</v>
      </c>
      <c r="D472" t="s">
        <v>342</v>
      </c>
      <c r="E472" t="s">
        <v>15</v>
      </c>
      <c r="F472">
        <v>1</v>
      </c>
      <c r="G472">
        <v>18</v>
      </c>
    </row>
    <row r="473" spans="1:7" x14ac:dyDescent="0.25">
      <c r="A473">
        <v>2738</v>
      </c>
      <c r="B473" t="s">
        <v>438</v>
      </c>
      <c r="C473" t="s">
        <v>523</v>
      </c>
      <c r="D473" t="s">
        <v>342</v>
      </c>
      <c r="E473" t="s">
        <v>15</v>
      </c>
      <c r="F473">
        <v>1</v>
      </c>
      <c r="G473">
        <v>122</v>
      </c>
    </row>
    <row r="474" spans="1:7" x14ac:dyDescent="0.25">
      <c r="A474">
        <v>2737</v>
      </c>
      <c r="B474" t="s">
        <v>630</v>
      </c>
      <c r="C474" t="s">
        <v>524</v>
      </c>
      <c r="D474" t="s">
        <v>361</v>
      </c>
      <c r="E474" t="s">
        <v>15</v>
      </c>
      <c r="F474">
        <v>1</v>
      </c>
      <c r="G474">
        <v>20</v>
      </c>
    </row>
    <row r="475" spans="1:7" x14ac:dyDescent="0.25">
      <c r="A475">
        <v>2738</v>
      </c>
      <c r="B475" t="s">
        <v>438</v>
      </c>
      <c r="C475" t="s">
        <v>524</v>
      </c>
      <c r="D475" t="s">
        <v>361</v>
      </c>
      <c r="E475" t="s">
        <v>15</v>
      </c>
      <c r="F475">
        <v>1</v>
      </c>
      <c r="G475">
        <v>179</v>
      </c>
    </row>
    <row r="476" spans="1:7" x14ac:dyDescent="0.25">
      <c r="A476">
        <v>9237</v>
      </c>
      <c r="B476" t="s">
        <v>633</v>
      </c>
      <c r="C476" t="s">
        <v>524</v>
      </c>
      <c r="D476" t="s">
        <v>361</v>
      </c>
      <c r="E476" t="s">
        <v>15</v>
      </c>
      <c r="F476">
        <v>1</v>
      </c>
      <c r="G476">
        <v>20</v>
      </c>
    </row>
    <row r="477" spans="1:7" x14ac:dyDescent="0.25">
      <c r="A477">
        <v>2738</v>
      </c>
      <c r="B477" t="s">
        <v>438</v>
      </c>
      <c r="C477" t="s">
        <v>525</v>
      </c>
      <c r="D477" t="s">
        <v>371</v>
      </c>
      <c r="E477" t="s">
        <v>15</v>
      </c>
      <c r="F477">
        <v>1</v>
      </c>
      <c r="G477">
        <v>84</v>
      </c>
    </row>
    <row r="478" spans="1:7" x14ac:dyDescent="0.25">
      <c r="A478">
        <v>9053</v>
      </c>
      <c r="B478" t="s">
        <v>576</v>
      </c>
      <c r="C478" t="s">
        <v>525</v>
      </c>
      <c r="D478" t="s">
        <v>371</v>
      </c>
      <c r="E478" t="s">
        <v>45</v>
      </c>
      <c r="F478">
        <v>1</v>
      </c>
      <c r="G478">
        <v>124</v>
      </c>
    </row>
    <row r="479" spans="1:7" x14ac:dyDescent="0.25">
      <c r="A479">
        <v>9034</v>
      </c>
      <c r="B479" t="s">
        <v>605</v>
      </c>
      <c r="C479" t="s">
        <v>681</v>
      </c>
      <c r="D479" t="s">
        <v>375</v>
      </c>
      <c r="E479" t="s">
        <v>15</v>
      </c>
      <c r="F479">
        <v>1</v>
      </c>
      <c r="G479">
        <v>200</v>
      </c>
    </row>
    <row r="480" spans="1:7" x14ac:dyDescent="0.25">
      <c r="A480">
        <v>2738</v>
      </c>
      <c r="B480" t="s">
        <v>438</v>
      </c>
      <c r="C480" t="s">
        <v>526</v>
      </c>
      <c r="D480" t="s">
        <v>374</v>
      </c>
      <c r="E480" t="s">
        <v>15</v>
      </c>
      <c r="F480">
        <v>1</v>
      </c>
      <c r="G480">
        <v>199</v>
      </c>
    </row>
    <row r="481" spans="1:7" x14ac:dyDescent="0.25">
      <c r="A481">
        <v>9034</v>
      </c>
      <c r="B481" t="s">
        <v>605</v>
      </c>
      <c r="C481" t="s">
        <v>526</v>
      </c>
      <c r="D481" t="s">
        <v>374</v>
      </c>
      <c r="E481" t="s">
        <v>15</v>
      </c>
      <c r="F481">
        <v>1</v>
      </c>
      <c r="G481">
        <v>9</v>
      </c>
    </row>
    <row r="482" spans="1:7" x14ac:dyDescent="0.25">
      <c r="A482">
        <v>2738</v>
      </c>
      <c r="B482" t="s">
        <v>438</v>
      </c>
      <c r="C482" t="s">
        <v>527</v>
      </c>
      <c r="D482" t="s">
        <v>370</v>
      </c>
      <c r="E482" t="s">
        <v>15</v>
      </c>
      <c r="F482">
        <v>1</v>
      </c>
      <c r="G482">
        <v>120</v>
      </c>
    </row>
    <row r="483" spans="1:7" x14ac:dyDescent="0.25">
      <c r="A483">
        <v>9034</v>
      </c>
      <c r="B483" t="s">
        <v>605</v>
      </c>
      <c r="C483" t="s">
        <v>527</v>
      </c>
      <c r="D483" t="s">
        <v>370</v>
      </c>
      <c r="E483" t="s">
        <v>15</v>
      </c>
      <c r="F483">
        <v>1</v>
      </c>
      <c r="G483">
        <v>85</v>
      </c>
    </row>
    <row r="484" spans="1:7" x14ac:dyDescent="0.25">
      <c r="A484">
        <v>2738</v>
      </c>
      <c r="B484" t="s">
        <v>438</v>
      </c>
      <c r="C484" t="s">
        <v>528</v>
      </c>
      <c r="D484" t="s">
        <v>369</v>
      </c>
      <c r="E484" t="s">
        <v>15</v>
      </c>
      <c r="F484">
        <v>1</v>
      </c>
      <c r="G484">
        <v>192</v>
      </c>
    </row>
    <row r="485" spans="1:7" x14ac:dyDescent="0.25">
      <c r="A485">
        <v>4855</v>
      </c>
      <c r="B485" t="s">
        <v>653</v>
      </c>
      <c r="C485" t="s">
        <v>529</v>
      </c>
      <c r="D485" t="s">
        <v>356</v>
      </c>
      <c r="E485" t="s">
        <v>25</v>
      </c>
      <c r="F485">
        <v>1</v>
      </c>
      <c r="G485">
        <v>25</v>
      </c>
    </row>
    <row r="486" spans="1:7" x14ac:dyDescent="0.25">
      <c r="A486">
        <v>4808</v>
      </c>
      <c r="B486" t="s">
        <v>651</v>
      </c>
      <c r="C486" t="s">
        <v>529</v>
      </c>
      <c r="D486" t="s">
        <v>356</v>
      </c>
      <c r="E486" t="s">
        <v>25</v>
      </c>
      <c r="F486">
        <v>1</v>
      </c>
      <c r="G486">
        <v>42</v>
      </c>
    </row>
    <row r="487" spans="1:7" x14ac:dyDescent="0.25">
      <c r="A487">
        <v>2285</v>
      </c>
      <c r="B487" t="s">
        <v>580</v>
      </c>
      <c r="C487" t="s">
        <v>529</v>
      </c>
      <c r="D487" t="s">
        <v>356</v>
      </c>
      <c r="E487" t="s">
        <v>7</v>
      </c>
      <c r="F487">
        <v>1</v>
      </c>
      <c r="G487">
        <v>22</v>
      </c>
    </row>
    <row r="488" spans="1:7" x14ac:dyDescent="0.25">
      <c r="A488">
        <v>2738</v>
      </c>
      <c r="B488" t="s">
        <v>438</v>
      </c>
      <c r="C488" t="s">
        <v>529</v>
      </c>
      <c r="D488" t="s">
        <v>356</v>
      </c>
      <c r="E488" t="s">
        <v>15</v>
      </c>
      <c r="F488">
        <v>1</v>
      </c>
      <c r="G488">
        <v>85</v>
      </c>
    </row>
    <row r="489" spans="1:7" x14ac:dyDescent="0.25">
      <c r="A489">
        <v>2553</v>
      </c>
      <c r="B489" t="s">
        <v>589</v>
      </c>
      <c r="C489" t="s">
        <v>529</v>
      </c>
      <c r="D489" t="s">
        <v>356</v>
      </c>
      <c r="E489" t="s">
        <v>7</v>
      </c>
      <c r="F489">
        <v>1</v>
      </c>
      <c r="G489">
        <v>6</v>
      </c>
    </row>
    <row r="490" spans="1:7" x14ac:dyDescent="0.25">
      <c r="A490">
        <v>4906</v>
      </c>
      <c r="B490" t="s">
        <v>682</v>
      </c>
      <c r="C490" t="s">
        <v>529</v>
      </c>
      <c r="D490" t="s">
        <v>356</v>
      </c>
      <c r="E490" t="s">
        <v>15</v>
      </c>
      <c r="F490">
        <v>1</v>
      </c>
      <c r="G490">
        <v>18</v>
      </c>
    </row>
    <row r="491" spans="1:7" x14ac:dyDescent="0.25">
      <c r="A491">
        <v>2738</v>
      </c>
      <c r="B491" t="s">
        <v>438</v>
      </c>
      <c r="C491" t="s">
        <v>530</v>
      </c>
      <c r="D491" t="s">
        <v>368</v>
      </c>
      <c r="E491" t="s">
        <v>15</v>
      </c>
      <c r="F491">
        <v>1</v>
      </c>
      <c r="G491">
        <v>179</v>
      </c>
    </row>
    <row r="492" spans="1:7" x14ac:dyDescent="0.25">
      <c r="A492">
        <v>4906</v>
      </c>
      <c r="B492" t="s">
        <v>682</v>
      </c>
      <c r="C492" t="s">
        <v>530</v>
      </c>
      <c r="D492" t="s">
        <v>368</v>
      </c>
      <c r="E492" t="s">
        <v>15</v>
      </c>
      <c r="F492">
        <v>1</v>
      </c>
      <c r="G492">
        <v>20</v>
      </c>
    </row>
    <row r="493" spans="1:7" x14ac:dyDescent="0.25">
      <c r="A493">
        <v>2543</v>
      </c>
      <c r="B493" t="s">
        <v>588</v>
      </c>
      <c r="C493" t="s">
        <v>531</v>
      </c>
      <c r="D493" t="s">
        <v>358</v>
      </c>
      <c r="E493" t="s">
        <v>7</v>
      </c>
      <c r="F493">
        <v>1</v>
      </c>
      <c r="G493">
        <v>44</v>
      </c>
    </row>
    <row r="494" spans="1:7" x14ac:dyDescent="0.25">
      <c r="A494">
        <v>2738</v>
      </c>
      <c r="B494" t="s">
        <v>438</v>
      </c>
      <c r="C494" t="s">
        <v>531</v>
      </c>
      <c r="D494" t="s">
        <v>358</v>
      </c>
      <c r="E494" t="s">
        <v>15</v>
      </c>
      <c r="F494">
        <v>1</v>
      </c>
      <c r="G494">
        <v>105</v>
      </c>
    </row>
    <row r="495" spans="1:7" x14ac:dyDescent="0.25">
      <c r="A495">
        <v>9201</v>
      </c>
      <c r="B495" t="s">
        <v>579</v>
      </c>
      <c r="C495" t="s">
        <v>532</v>
      </c>
      <c r="D495" t="s">
        <v>367</v>
      </c>
      <c r="E495" t="s">
        <v>15</v>
      </c>
      <c r="F495">
        <v>1</v>
      </c>
      <c r="G495">
        <v>29</v>
      </c>
    </row>
    <row r="496" spans="1:7" x14ac:dyDescent="0.25">
      <c r="A496">
        <v>2738</v>
      </c>
      <c r="B496" t="s">
        <v>438</v>
      </c>
      <c r="C496" t="s">
        <v>532</v>
      </c>
      <c r="D496" t="s">
        <v>367</v>
      </c>
      <c r="E496" t="s">
        <v>15</v>
      </c>
      <c r="F496">
        <v>1</v>
      </c>
      <c r="G496">
        <v>107</v>
      </c>
    </row>
    <row r="497" spans="1:7" x14ac:dyDescent="0.25">
      <c r="A497">
        <v>2543</v>
      </c>
      <c r="B497" t="s">
        <v>588</v>
      </c>
      <c r="C497" t="s">
        <v>533</v>
      </c>
      <c r="D497" t="s">
        <v>357</v>
      </c>
      <c r="E497" t="s">
        <v>7</v>
      </c>
      <c r="F497">
        <v>1</v>
      </c>
      <c r="G497">
        <v>15</v>
      </c>
    </row>
    <row r="498" spans="1:7" x14ac:dyDescent="0.25">
      <c r="A498">
        <v>2738</v>
      </c>
      <c r="B498" t="s">
        <v>438</v>
      </c>
      <c r="C498" t="s">
        <v>533</v>
      </c>
      <c r="D498" t="s">
        <v>357</v>
      </c>
      <c r="E498" t="s">
        <v>15</v>
      </c>
      <c r="F498">
        <v>1</v>
      </c>
      <c r="G498">
        <v>157</v>
      </c>
    </row>
    <row r="499" spans="1:7" x14ac:dyDescent="0.25">
      <c r="A499">
        <v>4855</v>
      </c>
      <c r="B499" t="s">
        <v>653</v>
      </c>
      <c r="C499" t="s">
        <v>533</v>
      </c>
      <c r="D499" t="s">
        <v>357</v>
      </c>
      <c r="E499" t="s">
        <v>25</v>
      </c>
      <c r="F499">
        <v>1</v>
      </c>
      <c r="G499">
        <v>43</v>
      </c>
    </row>
    <row r="500" spans="1:7" x14ac:dyDescent="0.25">
      <c r="A500">
        <v>4808</v>
      </c>
      <c r="B500" t="s">
        <v>651</v>
      </c>
      <c r="C500" t="s">
        <v>534</v>
      </c>
      <c r="D500" t="s">
        <v>354</v>
      </c>
      <c r="E500" t="s">
        <v>25</v>
      </c>
      <c r="F500">
        <v>1</v>
      </c>
      <c r="G500">
        <v>52</v>
      </c>
    </row>
    <row r="501" spans="1:7" x14ac:dyDescent="0.25">
      <c r="A501">
        <v>2283</v>
      </c>
      <c r="B501" t="s">
        <v>582</v>
      </c>
      <c r="C501" t="s">
        <v>534</v>
      </c>
      <c r="D501" t="s">
        <v>354</v>
      </c>
      <c r="E501" t="s">
        <v>7</v>
      </c>
      <c r="F501">
        <v>1</v>
      </c>
      <c r="G501">
        <v>64</v>
      </c>
    </row>
    <row r="502" spans="1:7" x14ac:dyDescent="0.25">
      <c r="A502">
        <v>2738</v>
      </c>
      <c r="B502" t="s">
        <v>438</v>
      </c>
      <c r="C502" t="s">
        <v>534</v>
      </c>
      <c r="D502" t="s">
        <v>354</v>
      </c>
      <c r="E502" t="s">
        <v>15</v>
      </c>
      <c r="F502">
        <v>1</v>
      </c>
      <c r="G502">
        <v>112</v>
      </c>
    </row>
    <row r="503" spans="1:7" x14ac:dyDescent="0.25">
      <c r="A503">
        <v>4855</v>
      </c>
      <c r="B503" t="s">
        <v>653</v>
      </c>
      <c r="C503" t="s">
        <v>535</v>
      </c>
      <c r="D503" t="s">
        <v>360</v>
      </c>
      <c r="E503" t="s">
        <v>25</v>
      </c>
      <c r="F503">
        <v>1</v>
      </c>
      <c r="G503">
        <v>17</v>
      </c>
    </row>
    <row r="504" spans="1:7" x14ac:dyDescent="0.25">
      <c r="A504">
        <v>2738</v>
      </c>
      <c r="B504" t="s">
        <v>438</v>
      </c>
      <c r="C504" t="s">
        <v>535</v>
      </c>
      <c r="D504" t="s">
        <v>360</v>
      </c>
      <c r="E504" t="s">
        <v>15</v>
      </c>
      <c r="F504">
        <v>1</v>
      </c>
      <c r="G504">
        <v>191</v>
      </c>
    </row>
    <row r="505" spans="1:7" x14ac:dyDescent="0.25">
      <c r="A505">
        <v>9201</v>
      </c>
      <c r="B505" t="s">
        <v>579</v>
      </c>
      <c r="C505" t="s">
        <v>535</v>
      </c>
      <c r="D505" t="s">
        <v>360</v>
      </c>
      <c r="E505" t="s">
        <v>15</v>
      </c>
      <c r="F505">
        <v>1</v>
      </c>
      <c r="G505">
        <v>24</v>
      </c>
    </row>
    <row r="506" spans="1:7" x14ac:dyDescent="0.25">
      <c r="A506">
        <v>9237</v>
      </c>
      <c r="B506" t="s">
        <v>633</v>
      </c>
      <c r="C506" t="s">
        <v>535</v>
      </c>
      <c r="D506" t="s">
        <v>360</v>
      </c>
      <c r="E506" t="s">
        <v>15</v>
      </c>
      <c r="F506">
        <v>1</v>
      </c>
      <c r="G506">
        <v>5</v>
      </c>
    </row>
    <row r="507" spans="1:7" x14ac:dyDescent="0.25">
      <c r="A507">
        <v>2553</v>
      </c>
      <c r="B507" t="s">
        <v>589</v>
      </c>
      <c r="C507" t="s">
        <v>535</v>
      </c>
      <c r="D507" t="s">
        <v>360</v>
      </c>
      <c r="E507" t="s">
        <v>7</v>
      </c>
      <c r="F507">
        <v>1</v>
      </c>
      <c r="G507">
        <v>8</v>
      </c>
    </row>
    <row r="508" spans="1:7" x14ac:dyDescent="0.25">
      <c r="A508">
        <v>2738</v>
      </c>
      <c r="B508" t="s">
        <v>438</v>
      </c>
      <c r="C508" t="s">
        <v>536</v>
      </c>
      <c r="D508" t="s">
        <v>355</v>
      </c>
      <c r="E508" t="s">
        <v>15</v>
      </c>
      <c r="F508">
        <v>1</v>
      </c>
      <c r="G508">
        <v>180</v>
      </c>
    </row>
    <row r="509" spans="1:7" x14ac:dyDescent="0.25">
      <c r="A509">
        <v>9033</v>
      </c>
      <c r="B509" t="s">
        <v>618</v>
      </c>
      <c r="C509" t="s">
        <v>536</v>
      </c>
      <c r="D509" t="s">
        <v>355</v>
      </c>
      <c r="E509" t="s">
        <v>15</v>
      </c>
      <c r="F509">
        <v>1</v>
      </c>
      <c r="G509">
        <v>22</v>
      </c>
    </row>
    <row r="510" spans="1:7" x14ac:dyDescent="0.25">
      <c r="A510">
        <v>2285</v>
      </c>
      <c r="B510" t="s">
        <v>580</v>
      </c>
      <c r="C510" t="s">
        <v>536</v>
      </c>
      <c r="D510" t="s">
        <v>355</v>
      </c>
      <c r="E510" t="s">
        <v>7</v>
      </c>
      <c r="F510">
        <v>1</v>
      </c>
      <c r="G510">
        <v>4</v>
      </c>
    </row>
    <row r="511" spans="1:7" x14ac:dyDescent="0.25">
      <c r="A511">
        <v>2737</v>
      </c>
      <c r="B511" t="s">
        <v>630</v>
      </c>
      <c r="C511" t="s">
        <v>536</v>
      </c>
      <c r="D511" t="s">
        <v>355</v>
      </c>
      <c r="E511" t="s">
        <v>15</v>
      </c>
      <c r="F511">
        <v>1</v>
      </c>
      <c r="G511">
        <v>22</v>
      </c>
    </row>
    <row r="512" spans="1:7" x14ac:dyDescent="0.25">
      <c r="A512">
        <v>2738</v>
      </c>
      <c r="B512" t="s">
        <v>438</v>
      </c>
      <c r="C512" t="s">
        <v>537</v>
      </c>
      <c r="D512" t="s">
        <v>366</v>
      </c>
      <c r="E512" t="s">
        <v>15</v>
      </c>
      <c r="F512">
        <v>1</v>
      </c>
      <c r="G512">
        <v>170</v>
      </c>
    </row>
    <row r="513" spans="1:7" x14ac:dyDescent="0.25">
      <c r="A513">
        <v>9201</v>
      </c>
      <c r="B513" t="s">
        <v>579</v>
      </c>
      <c r="C513" t="s">
        <v>537</v>
      </c>
      <c r="D513" t="s">
        <v>366</v>
      </c>
      <c r="E513" t="s">
        <v>15</v>
      </c>
      <c r="F513">
        <v>1</v>
      </c>
      <c r="G513">
        <v>45</v>
      </c>
    </row>
    <row r="514" spans="1:7" x14ac:dyDescent="0.25">
      <c r="A514">
        <v>9188</v>
      </c>
      <c r="B514" t="s">
        <v>575</v>
      </c>
      <c r="C514" t="s">
        <v>683</v>
      </c>
      <c r="D514" t="s">
        <v>373</v>
      </c>
      <c r="E514" t="s">
        <v>15</v>
      </c>
      <c r="F514">
        <v>1</v>
      </c>
      <c r="G514">
        <v>125</v>
      </c>
    </row>
    <row r="515" spans="1:7" x14ac:dyDescent="0.25">
      <c r="A515">
        <v>9053</v>
      </c>
      <c r="B515" t="s">
        <v>576</v>
      </c>
      <c r="C515" t="s">
        <v>683</v>
      </c>
      <c r="D515" t="s">
        <v>373</v>
      </c>
      <c r="E515" t="s">
        <v>45</v>
      </c>
      <c r="F515">
        <v>1</v>
      </c>
      <c r="G515">
        <v>50</v>
      </c>
    </row>
    <row r="516" spans="1:7" x14ac:dyDescent="0.25">
      <c r="A516">
        <v>2738</v>
      </c>
      <c r="B516" t="s">
        <v>438</v>
      </c>
      <c r="C516" t="s">
        <v>538</v>
      </c>
      <c r="D516" t="s">
        <v>365</v>
      </c>
      <c r="E516" t="s">
        <v>15</v>
      </c>
      <c r="F516">
        <v>1</v>
      </c>
      <c r="G516">
        <v>123</v>
      </c>
    </row>
    <row r="517" spans="1:7" x14ac:dyDescent="0.25">
      <c r="A517">
        <v>9053</v>
      </c>
      <c r="B517" t="s">
        <v>576</v>
      </c>
      <c r="C517" t="s">
        <v>538</v>
      </c>
      <c r="D517" t="s">
        <v>365</v>
      </c>
      <c r="E517" t="s">
        <v>45</v>
      </c>
      <c r="F517">
        <v>1</v>
      </c>
      <c r="G517">
        <v>60</v>
      </c>
    </row>
    <row r="518" spans="1:7" x14ac:dyDescent="0.25">
      <c r="A518">
        <v>4855</v>
      </c>
      <c r="B518" t="s">
        <v>653</v>
      </c>
      <c r="C518" t="s">
        <v>539</v>
      </c>
      <c r="D518" t="s">
        <v>359</v>
      </c>
      <c r="E518" t="s">
        <v>25</v>
      </c>
      <c r="F518">
        <v>1</v>
      </c>
      <c r="G518">
        <v>12</v>
      </c>
    </row>
    <row r="519" spans="1:7" x14ac:dyDescent="0.25">
      <c r="A519">
        <v>2738</v>
      </c>
      <c r="B519" t="s">
        <v>438</v>
      </c>
      <c r="C519" t="s">
        <v>539</v>
      </c>
      <c r="D519" t="s">
        <v>359</v>
      </c>
      <c r="E519" t="s">
        <v>15</v>
      </c>
      <c r="F519">
        <v>1</v>
      </c>
      <c r="G519">
        <v>47</v>
      </c>
    </row>
    <row r="520" spans="1:7" x14ac:dyDescent="0.25">
      <c r="A520">
        <v>9053</v>
      </c>
      <c r="B520" t="s">
        <v>576</v>
      </c>
      <c r="C520" t="s">
        <v>539</v>
      </c>
      <c r="D520" t="s">
        <v>359</v>
      </c>
      <c r="E520" t="s">
        <v>45</v>
      </c>
      <c r="F520">
        <v>1</v>
      </c>
      <c r="G520">
        <v>90</v>
      </c>
    </row>
    <row r="521" spans="1:7" x14ac:dyDescent="0.25">
      <c r="A521">
        <v>9201</v>
      </c>
      <c r="B521" t="s">
        <v>579</v>
      </c>
      <c r="C521" t="s">
        <v>539</v>
      </c>
      <c r="D521" t="s">
        <v>359</v>
      </c>
      <c r="E521" t="s">
        <v>15</v>
      </c>
      <c r="F521">
        <v>1</v>
      </c>
      <c r="G521">
        <v>35</v>
      </c>
    </row>
    <row r="522" spans="1:7" x14ac:dyDescent="0.25">
      <c r="A522">
        <v>2553</v>
      </c>
      <c r="B522" t="s">
        <v>589</v>
      </c>
      <c r="C522" t="s">
        <v>539</v>
      </c>
      <c r="D522" t="s">
        <v>359</v>
      </c>
      <c r="E522" t="s">
        <v>7</v>
      </c>
      <c r="F522">
        <v>1</v>
      </c>
      <c r="G522">
        <v>0</v>
      </c>
    </row>
    <row r="523" spans="1:7" x14ac:dyDescent="0.25">
      <c r="A523">
        <v>9188</v>
      </c>
      <c r="B523" t="s">
        <v>575</v>
      </c>
      <c r="C523" t="s">
        <v>540</v>
      </c>
      <c r="D523" t="s">
        <v>353</v>
      </c>
      <c r="E523" t="s">
        <v>15</v>
      </c>
      <c r="F523">
        <v>1</v>
      </c>
      <c r="G523">
        <v>123</v>
      </c>
    </row>
    <row r="524" spans="1:7" x14ac:dyDescent="0.25">
      <c r="A524">
        <v>4808</v>
      </c>
      <c r="B524" t="s">
        <v>651</v>
      </c>
      <c r="C524" t="s">
        <v>540</v>
      </c>
      <c r="D524" t="s">
        <v>353</v>
      </c>
      <c r="E524" t="s">
        <v>25</v>
      </c>
      <c r="F524">
        <v>1</v>
      </c>
      <c r="G524">
        <v>14</v>
      </c>
    </row>
    <row r="525" spans="1:7" x14ac:dyDescent="0.25">
      <c r="A525">
        <v>2283</v>
      </c>
      <c r="B525" t="s">
        <v>582</v>
      </c>
      <c r="C525" t="s">
        <v>540</v>
      </c>
      <c r="D525" t="s">
        <v>353</v>
      </c>
      <c r="E525" t="s">
        <v>7</v>
      </c>
      <c r="F525">
        <v>1</v>
      </c>
      <c r="G525">
        <v>25</v>
      </c>
    </row>
    <row r="526" spans="1:7" x14ac:dyDescent="0.25">
      <c r="A526">
        <v>2738</v>
      </c>
      <c r="B526" t="s">
        <v>438</v>
      </c>
      <c r="C526" t="s">
        <v>540</v>
      </c>
      <c r="D526" t="s">
        <v>353</v>
      </c>
      <c r="E526" t="s">
        <v>15</v>
      </c>
      <c r="F526">
        <v>1</v>
      </c>
      <c r="G526">
        <v>23</v>
      </c>
    </row>
    <row r="527" spans="1:7" x14ac:dyDescent="0.25">
      <c r="A527">
        <v>2738</v>
      </c>
      <c r="B527" t="s">
        <v>438</v>
      </c>
      <c r="C527" t="s">
        <v>541</v>
      </c>
      <c r="D527" t="s">
        <v>364</v>
      </c>
      <c r="E527" t="s">
        <v>15</v>
      </c>
      <c r="F527">
        <v>1</v>
      </c>
      <c r="G527">
        <v>183</v>
      </c>
    </row>
    <row r="528" spans="1:7" x14ac:dyDescent="0.25">
      <c r="A528">
        <v>9188</v>
      </c>
      <c r="B528" t="s">
        <v>575</v>
      </c>
      <c r="C528" t="s">
        <v>542</v>
      </c>
      <c r="D528" t="s">
        <v>363</v>
      </c>
      <c r="E528" t="s">
        <v>15</v>
      </c>
      <c r="F528">
        <v>1</v>
      </c>
      <c r="G528">
        <v>18</v>
      </c>
    </row>
    <row r="529" spans="1:7" x14ac:dyDescent="0.25">
      <c r="A529">
        <v>9053</v>
      </c>
      <c r="B529" t="s">
        <v>576</v>
      </c>
      <c r="C529" t="s">
        <v>542</v>
      </c>
      <c r="D529" t="s">
        <v>363</v>
      </c>
      <c r="E529" t="s">
        <v>45</v>
      </c>
      <c r="F529">
        <v>1</v>
      </c>
      <c r="G529">
        <v>31</v>
      </c>
    </row>
    <row r="530" spans="1:7" x14ac:dyDescent="0.25">
      <c r="A530">
        <v>2738</v>
      </c>
      <c r="B530" t="s">
        <v>438</v>
      </c>
      <c r="C530" t="s">
        <v>542</v>
      </c>
      <c r="D530" t="s">
        <v>363</v>
      </c>
      <c r="E530" t="s">
        <v>15</v>
      </c>
      <c r="F530">
        <v>1</v>
      </c>
      <c r="G530">
        <v>101</v>
      </c>
    </row>
    <row r="531" spans="1:7" x14ac:dyDescent="0.25">
      <c r="A531">
        <v>9237</v>
      </c>
      <c r="B531" t="s">
        <v>633</v>
      </c>
      <c r="C531" t="s">
        <v>542</v>
      </c>
      <c r="D531" t="s">
        <v>363</v>
      </c>
      <c r="E531" t="s">
        <v>15</v>
      </c>
      <c r="F531">
        <v>1</v>
      </c>
      <c r="G531">
        <v>19</v>
      </c>
    </row>
    <row r="532" spans="1:7" x14ac:dyDescent="0.25">
      <c r="A532">
        <v>4855</v>
      </c>
      <c r="B532" t="s">
        <v>653</v>
      </c>
      <c r="C532" t="s">
        <v>543</v>
      </c>
      <c r="D532" t="s">
        <v>362</v>
      </c>
      <c r="E532" t="s">
        <v>25</v>
      </c>
      <c r="F532">
        <v>1</v>
      </c>
      <c r="G532">
        <v>39</v>
      </c>
    </row>
    <row r="533" spans="1:7" x14ac:dyDescent="0.25">
      <c r="A533">
        <v>4808</v>
      </c>
      <c r="B533" t="s">
        <v>651</v>
      </c>
      <c r="C533" t="s">
        <v>543</v>
      </c>
      <c r="D533" t="s">
        <v>362</v>
      </c>
      <c r="E533" t="s">
        <v>25</v>
      </c>
      <c r="F533">
        <v>1</v>
      </c>
      <c r="G533">
        <v>40</v>
      </c>
    </row>
    <row r="534" spans="1:7" x14ac:dyDescent="0.25">
      <c r="A534">
        <v>9053</v>
      </c>
      <c r="B534" t="s">
        <v>576</v>
      </c>
      <c r="C534" t="s">
        <v>543</v>
      </c>
      <c r="D534" t="s">
        <v>362</v>
      </c>
      <c r="E534" t="s">
        <v>45</v>
      </c>
      <c r="F534">
        <v>1</v>
      </c>
      <c r="G534">
        <v>14</v>
      </c>
    </row>
    <row r="535" spans="1:7" x14ac:dyDescent="0.25">
      <c r="A535">
        <v>2738</v>
      </c>
      <c r="B535" t="s">
        <v>438</v>
      </c>
      <c r="C535" t="s">
        <v>543</v>
      </c>
      <c r="D535" t="s">
        <v>362</v>
      </c>
      <c r="E535" t="s">
        <v>15</v>
      </c>
      <c r="F535">
        <v>1</v>
      </c>
      <c r="G535">
        <v>80</v>
      </c>
    </row>
    <row r="536" spans="1:7" x14ac:dyDescent="0.25">
      <c r="A536">
        <v>9201</v>
      </c>
      <c r="B536" t="s">
        <v>579</v>
      </c>
      <c r="C536" t="s">
        <v>544</v>
      </c>
      <c r="D536" t="s">
        <v>394</v>
      </c>
      <c r="E536" t="s">
        <v>15</v>
      </c>
      <c r="F536">
        <v>1</v>
      </c>
      <c r="G536">
        <v>30</v>
      </c>
    </row>
    <row r="537" spans="1:7" x14ac:dyDescent="0.25">
      <c r="A537">
        <v>2738</v>
      </c>
      <c r="B537" t="s">
        <v>438</v>
      </c>
      <c r="C537" t="s">
        <v>544</v>
      </c>
      <c r="D537" t="s">
        <v>394</v>
      </c>
      <c r="E537" t="s">
        <v>15</v>
      </c>
      <c r="F537">
        <v>1</v>
      </c>
      <c r="G537">
        <v>122</v>
      </c>
    </row>
    <row r="538" spans="1:7" x14ac:dyDescent="0.25">
      <c r="A538">
        <v>9053</v>
      </c>
      <c r="B538" t="s">
        <v>576</v>
      </c>
      <c r="C538" t="s">
        <v>545</v>
      </c>
      <c r="D538" t="s">
        <v>393</v>
      </c>
      <c r="E538" t="s">
        <v>45</v>
      </c>
      <c r="F538">
        <v>1</v>
      </c>
      <c r="G538">
        <v>55</v>
      </c>
    </row>
    <row r="539" spans="1:7" x14ac:dyDescent="0.25">
      <c r="A539">
        <v>9237</v>
      </c>
      <c r="B539" t="s">
        <v>633</v>
      </c>
      <c r="C539" t="s">
        <v>545</v>
      </c>
      <c r="D539" t="s">
        <v>393</v>
      </c>
      <c r="E539" t="s">
        <v>15</v>
      </c>
      <c r="F539">
        <v>1</v>
      </c>
      <c r="G539">
        <v>17</v>
      </c>
    </row>
    <row r="540" spans="1:7" x14ac:dyDescent="0.25">
      <c r="A540">
        <v>2738</v>
      </c>
      <c r="B540" t="s">
        <v>438</v>
      </c>
      <c r="C540" t="s">
        <v>545</v>
      </c>
      <c r="D540" t="s">
        <v>393</v>
      </c>
      <c r="E540" t="s">
        <v>15</v>
      </c>
      <c r="F540">
        <v>1</v>
      </c>
      <c r="G540">
        <v>113</v>
      </c>
    </row>
    <row r="541" spans="1:7" x14ac:dyDescent="0.25">
      <c r="A541">
        <v>9053</v>
      </c>
      <c r="B541" t="s">
        <v>576</v>
      </c>
      <c r="C541" t="s">
        <v>546</v>
      </c>
      <c r="D541" t="s">
        <v>392</v>
      </c>
      <c r="E541" t="s">
        <v>45</v>
      </c>
      <c r="F541">
        <v>1</v>
      </c>
      <c r="G541">
        <v>93</v>
      </c>
    </row>
    <row r="542" spans="1:7" x14ac:dyDescent="0.25">
      <c r="A542">
        <v>2738</v>
      </c>
      <c r="B542" t="s">
        <v>438</v>
      </c>
      <c r="C542" t="s">
        <v>546</v>
      </c>
      <c r="D542" t="s">
        <v>392</v>
      </c>
      <c r="E542" t="s">
        <v>15</v>
      </c>
      <c r="F542">
        <v>1</v>
      </c>
      <c r="G542">
        <v>76</v>
      </c>
    </row>
    <row r="543" spans="1:7" x14ac:dyDescent="0.25">
      <c r="A543">
        <v>9036</v>
      </c>
      <c r="B543" t="s">
        <v>610</v>
      </c>
      <c r="C543" t="s">
        <v>547</v>
      </c>
      <c r="D543" t="s">
        <v>391</v>
      </c>
      <c r="E543" t="s">
        <v>15</v>
      </c>
      <c r="F543">
        <v>1</v>
      </c>
      <c r="G543">
        <v>16</v>
      </c>
    </row>
    <row r="544" spans="1:7" x14ac:dyDescent="0.25">
      <c r="A544">
        <v>2738</v>
      </c>
      <c r="B544" t="s">
        <v>438</v>
      </c>
      <c r="C544" t="s">
        <v>547</v>
      </c>
      <c r="D544" t="s">
        <v>391</v>
      </c>
      <c r="E544" t="s">
        <v>15</v>
      </c>
      <c r="F544">
        <v>1</v>
      </c>
      <c r="G544">
        <v>161</v>
      </c>
    </row>
    <row r="545" spans="1:7" x14ac:dyDescent="0.25">
      <c r="A545">
        <v>2738</v>
      </c>
      <c r="B545" t="s">
        <v>438</v>
      </c>
      <c r="C545" t="s">
        <v>548</v>
      </c>
      <c r="D545" t="s">
        <v>379</v>
      </c>
      <c r="E545" t="s">
        <v>15</v>
      </c>
      <c r="F545">
        <v>1</v>
      </c>
      <c r="G545">
        <v>148</v>
      </c>
    </row>
    <row r="546" spans="1:7" x14ac:dyDescent="0.25">
      <c r="A546">
        <v>2737</v>
      </c>
      <c r="B546" t="s">
        <v>630</v>
      </c>
      <c r="C546" t="s">
        <v>548</v>
      </c>
      <c r="D546" t="s">
        <v>379</v>
      </c>
      <c r="E546" t="s">
        <v>15</v>
      </c>
      <c r="F546">
        <v>1</v>
      </c>
      <c r="G546">
        <v>16</v>
      </c>
    </row>
    <row r="547" spans="1:7" x14ac:dyDescent="0.25">
      <c r="A547">
        <v>9033</v>
      </c>
      <c r="B547" t="s">
        <v>618</v>
      </c>
      <c r="C547" t="s">
        <v>684</v>
      </c>
      <c r="D547" t="s">
        <v>397</v>
      </c>
      <c r="E547" t="s">
        <v>15</v>
      </c>
      <c r="F547">
        <v>1</v>
      </c>
      <c r="G547">
        <v>23</v>
      </c>
    </row>
    <row r="548" spans="1:7" x14ac:dyDescent="0.25">
      <c r="A548">
        <v>9053</v>
      </c>
      <c r="B548" t="s">
        <v>576</v>
      </c>
      <c r="C548" t="s">
        <v>684</v>
      </c>
      <c r="D548" t="s">
        <v>397</v>
      </c>
      <c r="E548" t="s">
        <v>45</v>
      </c>
      <c r="F548">
        <v>1</v>
      </c>
      <c r="G548">
        <v>164</v>
      </c>
    </row>
    <row r="549" spans="1:7" x14ac:dyDescent="0.25">
      <c r="A549">
        <v>2738</v>
      </c>
      <c r="B549" t="s">
        <v>438</v>
      </c>
      <c r="C549" t="s">
        <v>549</v>
      </c>
      <c r="D549" t="s">
        <v>390</v>
      </c>
      <c r="E549" t="s">
        <v>15</v>
      </c>
      <c r="F549">
        <v>1</v>
      </c>
      <c r="G549">
        <v>177</v>
      </c>
    </row>
    <row r="550" spans="1:7" x14ac:dyDescent="0.25">
      <c r="A550">
        <v>2738</v>
      </c>
      <c r="B550" t="s">
        <v>438</v>
      </c>
      <c r="C550" t="s">
        <v>550</v>
      </c>
      <c r="D550" t="s">
        <v>389</v>
      </c>
      <c r="E550" t="s">
        <v>15</v>
      </c>
      <c r="F550">
        <v>1</v>
      </c>
      <c r="G550">
        <v>169</v>
      </c>
    </row>
    <row r="551" spans="1:7" x14ac:dyDescent="0.25">
      <c r="A551">
        <v>9053</v>
      </c>
      <c r="B551" t="s">
        <v>576</v>
      </c>
      <c r="C551" t="s">
        <v>551</v>
      </c>
      <c r="D551" t="s">
        <v>388</v>
      </c>
      <c r="E551" t="s">
        <v>45</v>
      </c>
      <c r="F551">
        <v>1</v>
      </c>
      <c r="G551">
        <v>102</v>
      </c>
    </row>
    <row r="552" spans="1:7" x14ac:dyDescent="0.25">
      <c r="A552">
        <v>2738</v>
      </c>
      <c r="B552" t="s">
        <v>438</v>
      </c>
      <c r="C552" t="s">
        <v>551</v>
      </c>
      <c r="D552" t="s">
        <v>388</v>
      </c>
      <c r="E552" t="s">
        <v>15</v>
      </c>
      <c r="F552">
        <v>1</v>
      </c>
      <c r="G552">
        <v>75</v>
      </c>
    </row>
    <row r="553" spans="1:7" x14ac:dyDescent="0.25">
      <c r="A553">
        <v>2283</v>
      </c>
      <c r="B553" t="s">
        <v>582</v>
      </c>
      <c r="C553" t="s">
        <v>552</v>
      </c>
      <c r="D553" t="s">
        <v>376</v>
      </c>
      <c r="E553" t="s">
        <v>7</v>
      </c>
      <c r="F553">
        <v>1</v>
      </c>
      <c r="G553">
        <v>20</v>
      </c>
    </row>
    <row r="554" spans="1:7" x14ac:dyDescent="0.25">
      <c r="A554">
        <v>4808</v>
      </c>
      <c r="B554" t="s">
        <v>651</v>
      </c>
      <c r="C554" t="s">
        <v>552</v>
      </c>
      <c r="D554" t="s">
        <v>376</v>
      </c>
      <c r="E554" t="s">
        <v>25</v>
      </c>
      <c r="F554">
        <v>1</v>
      </c>
      <c r="G554">
        <v>15</v>
      </c>
    </row>
    <row r="555" spans="1:7" x14ac:dyDescent="0.25">
      <c r="A555">
        <v>4855</v>
      </c>
      <c r="B555" t="s">
        <v>653</v>
      </c>
      <c r="C555" t="s">
        <v>552</v>
      </c>
      <c r="D555" t="s">
        <v>376</v>
      </c>
      <c r="E555" t="s">
        <v>25</v>
      </c>
      <c r="F555">
        <v>1</v>
      </c>
      <c r="G555">
        <v>129</v>
      </c>
    </row>
    <row r="556" spans="1:7" x14ac:dyDescent="0.25">
      <c r="A556">
        <v>2738</v>
      </c>
      <c r="B556" t="s">
        <v>438</v>
      </c>
      <c r="C556" t="s">
        <v>552</v>
      </c>
      <c r="D556" t="s">
        <v>376</v>
      </c>
      <c r="E556" t="s">
        <v>15</v>
      </c>
      <c r="F556">
        <v>1</v>
      </c>
      <c r="G556">
        <v>25</v>
      </c>
    </row>
    <row r="557" spans="1:7" x14ac:dyDescent="0.25">
      <c r="A557">
        <v>9201</v>
      </c>
      <c r="B557" t="s">
        <v>579</v>
      </c>
      <c r="C557" t="s">
        <v>553</v>
      </c>
      <c r="D557" t="s">
        <v>387</v>
      </c>
      <c r="E557" t="s">
        <v>15</v>
      </c>
      <c r="F557">
        <v>1</v>
      </c>
      <c r="G557">
        <v>124</v>
      </c>
    </row>
    <row r="558" spans="1:7" x14ac:dyDescent="0.25">
      <c r="A558">
        <v>2738</v>
      </c>
      <c r="B558" t="s">
        <v>438</v>
      </c>
      <c r="C558" t="s">
        <v>553</v>
      </c>
      <c r="D558" t="s">
        <v>387</v>
      </c>
      <c r="E558" t="s">
        <v>15</v>
      </c>
      <c r="F558">
        <v>1</v>
      </c>
      <c r="G558">
        <v>55</v>
      </c>
    </row>
    <row r="559" spans="1:7" x14ac:dyDescent="0.25">
      <c r="A559">
        <v>2738</v>
      </c>
      <c r="B559" t="s">
        <v>438</v>
      </c>
      <c r="C559" t="s">
        <v>554</v>
      </c>
      <c r="D559" t="s">
        <v>386</v>
      </c>
      <c r="E559" t="s">
        <v>15</v>
      </c>
      <c r="F559">
        <v>1</v>
      </c>
      <c r="G559">
        <v>191</v>
      </c>
    </row>
    <row r="560" spans="1:7" x14ac:dyDescent="0.25">
      <c r="A560">
        <v>9053</v>
      </c>
      <c r="B560" t="s">
        <v>576</v>
      </c>
      <c r="C560" t="s">
        <v>555</v>
      </c>
      <c r="D560" t="s">
        <v>385</v>
      </c>
      <c r="E560" t="s">
        <v>45</v>
      </c>
      <c r="F560">
        <v>1</v>
      </c>
      <c r="G560">
        <v>30</v>
      </c>
    </row>
    <row r="561" spans="1:7" x14ac:dyDescent="0.25">
      <c r="A561">
        <v>2738</v>
      </c>
      <c r="B561" t="s">
        <v>438</v>
      </c>
      <c r="C561" t="s">
        <v>555</v>
      </c>
      <c r="D561" t="s">
        <v>385</v>
      </c>
      <c r="E561" t="s">
        <v>15</v>
      </c>
      <c r="F561">
        <v>1</v>
      </c>
      <c r="G561">
        <v>154</v>
      </c>
    </row>
    <row r="562" spans="1:7" x14ac:dyDescent="0.25">
      <c r="A562">
        <v>9188</v>
      </c>
      <c r="B562" t="s">
        <v>575</v>
      </c>
      <c r="C562" t="s">
        <v>685</v>
      </c>
      <c r="D562" t="s">
        <v>395</v>
      </c>
      <c r="E562" t="s">
        <v>15</v>
      </c>
      <c r="F562">
        <v>1</v>
      </c>
      <c r="G562">
        <v>14</v>
      </c>
    </row>
    <row r="563" spans="1:7" x14ac:dyDescent="0.25">
      <c r="A563">
        <v>9214</v>
      </c>
      <c r="B563" t="s">
        <v>247</v>
      </c>
      <c r="C563" t="s">
        <v>685</v>
      </c>
      <c r="D563" t="s">
        <v>395</v>
      </c>
      <c r="E563" t="s">
        <v>15</v>
      </c>
      <c r="F563">
        <v>1</v>
      </c>
      <c r="G563">
        <v>18</v>
      </c>
    </row>
    <row r="564" spans="1:7" x14ac:dyDescent="0.25">
      <c r="A564">
        <v>9053</v>
      </c>
      <c r="B564" t="s">
        <v>576</v>
      </c>
      <c r="C564" t="s">
        <v>685</v>
      </c>
      <c r="D564" t="s">
        <v>395</v>
      </c>
      <c r="E564" t="s">
        <v>45</v>
      </c>
      <c r="F564">
        <v>1</v>
      </c>
      <c r="G564">
        <v>126</v>
      </c>
    </row>
    <row r="565" spans="1:7" x14ac:dyDescent="0.25">
      <c r="A565">
        <v>9201</v>
      </c>
      <c r="B565" t="s">
        <v>579</v>
      </c>
      <c r="C565" t="s">
        <v>685</v>
      </c>
      <c r="D565" t="s">
        <v>395</v>
      </c>
      <c r="E565" t="s">
        <v>15</v>
      </c>
      <c r="F565">
        <v>1</v>
      </c>
      <c r="G565">
        <v>5</v>
      </c>
    </row>
    <row r="566" spans="1:7" x14ac:dyDescent="0.25">
      <c r="A566">
        <v>4808</v>
      </c>
      <c r="B566" t="s">
        <v>651</v>
      </c>
      <c r="C566" t="s">
        <v>556</v>
      </c>
      <c r="D566" t="s">
        <v>384</v>
      </c>
      <c r="E566" t="s">
        <v>25</v>
      </c>
      <c r="F566">
        <v>1</v>
      </c>
      <c r="G566">
        <v>23</v>
      </c>
    </row>
    <row r="567" spans="1:7" x14ac:dyDescent="0.25">
      <c r="A567">
        <v>4855</v>
      </c>
      <c r="B567" t="s">
        <v>653</v>
      </c>
      <c r="C567" t="s">
        <v>556</v>
      </c>
      <c r="D567" t="s">
        <v>384</v>
      </c>
      <c r="E567" t="s">
        <v>25</v>
      </c>
      <c r="F567">
        <v>1</v>
      </c>
      <c r="G567">
        <v>34</v>
      </c>
    </row>
    <row r="568" spans="1:7" x14ac:dyDescent="0.25">
      <c r="A568">
        <v>2738</v>
      </c>
      <c r="B568" t="s">
        <v>438</v>
      </c>
      <c r="C568" t="s">
        <v>556</v>
      </c>
      <c r="D568" t="s">
        <v>384</v>
      </c>
      <c r="E568" t="s">
        <v>15</v>
      </c>
      <c r="F568">
        <v>1</v>
      </c>
      <c r="G568">
        <v>40</v>
      </c>
    </row>
    <row r="569" spans="1:7" x14ac:dyDescent="0.25">
      <c r="A569">
        <v>9201</v>
      </c>
      <c r="B569" t="s">
        <v>579</v>
      </c>
      <c r="C569" t="s">
        <v>556</v>
      </c>
      <c r="D569" t="s">
        <v>384</v>
      </c>
      <c r="E569" t="s">
        <v>15</v>
      </c>
      <c r="F569">
        <v>1</v>
      </c>
      <c r="G569">
        <v>45</v>
      </c>
    </row>
    <row r="570" spans="1:7" x14ac:dyDescent="0.25">
      <c r="A570">
        <v>9237</v>
      </c>
      <c r="B570" t="s">
        <v>633</v>
      </c>
      <c r="C570" t="s">
        <v>556</v>
      </c>
      <c r="D570" t="s">
        <v>384</v>
      </c>
      <c r="E570" t="s">
        <v>15</v>
      </c>
      <c r="F570">
        <v>1</v>
      </c>
      <c r="G570">
        <v>20</v>
      </c>
    </row>
    <row r="571" spans="1:7" x14ac:dyDescent="0.25">
      <c r="A571">
        <v>2738</v>
      </c>
      <c r="B571" t="s">
        <v>438</v>
      </c>
      <c r="C571" t="s">
        <v>557</v>
      </c>
      <c r="D571" t="s">
        <v>383</v>
      </c>
      <c r="E571" t="s">
        <v>15</v>
      </c>
      <c r="F571">
        <v>1</v>
      </c>
      <c r="G571">
        <v>168</v>
      </c>
    </row>
    <row r="572" spans="1:7" x14ac:dyDescent="0.25">
      <c r="A572">
        <v>9237</v>
      </c>
      <c r="B572" t="s">
        <v>633</v>
      </c>
      <c r="C572" t="s">
        <v>557</v>
      </c>
      <c r="D572" t="s">
        <v>383</v>
      </c>
      <c r="E572" t="s">
        <v>15</v>
      </c>
      <c r="F572">
        <v>1</v>
      </c>
      <c r="G572">
        <v>24</v>
      </c>
    </row>
    <row r="573" spans="1:7" x14ac:dyDescent="0.25">
      <c r="A573">
        <v>2738</v>
      </c>
      <c r="B573" t="s">
        <v>438</v>
      </c>
      <c r="C573" t="s">
        <v>558</v>
      </c>
      <c r="D573" t="s">
        <v>382</v>
      </c>
      <c r="E573" t="s">
        <v>15</v>
      </c>
      <c r="F573">
        <v>1</v>
      </c>
      <c r="G573">
        <v>208</v>
      </c>
    </row>
    <row r="574" spans="1:7" x14ac:dyDescent="0.25">
      <c r="A574">
        <v>9188</v>
      </c>
      <c r="B574" t="s">
        <v>575</v>
      </c>
      <c r="C574" t="s">
        <v>559</v>
      </c>
      <c r="D574" t="s">
        <v>381</v>
      </c>
      <c r="E574" t="s">
        <v>15</v>
      </c>
      <c r="F574">
        <v>1</v>
      </c>
      <c r="G574">
        <v>147</v>
      </c>
    </row>
    <row r="575" spans="1:7" x14ac:dyDescent="0.25">
      <c r="A575">
        <v>2738</v>
      </c>
      <c r="B575" t="s">
        <v>438</v>
      </c>
      <c r="C575" t="s">
        <v>559</v>
      </c>
      <c r="D575" t="s">
        <v>381</v>
      </c>
      <c r="E575" t="s">
        <v>15</v>
      </c>
      <c r="F575">
        <v>1</v>
      </c>
      <c r="G575">
        <v>15</v>
      </c>
    </row>
    <row r="576" spans="1:7" x14ac:dyDescent="0.25">
      <c r="A576">
        <v>9237</v>
      </c>
      <c r="B576" t="s">
        <v>633</v>
      </c>
      <c r="C576" t="s">
        <v>686</v>
      </c>
      <c r="D576" t="s">
        <v>398</v>
      </c>
      <c r="E576" t="s">
        <v>15</v>
      </c>
      <c r="F576">
        <v>1</v>
      </c>
      <c r="G576">
        <v>160</v>
      </c>
    </row>
    <row r="577" spans="1:7" x14ac:dyDescent="0.25">
      <c r="A577">
        <v>9188</v>
      </c>
      <c r="B577" t="s">
        <v>575</v>
      </c>
      <c r="C577" t="s">
        <v>686</v>
      </c>
      <c r="D577" t="s">
        <v>398</v>
      </c>
      <c r="E577" t="s">
        <v>15</v>
      </c>
      <c r="F577">
        <v>1</v>
      </c>
      <c r="G577">
        <v>40</v>
      </c>
    </row>
    <row r="578" spans="1:7" x14ac:dyDescent="0.25">
      <c r="A578">
        <v>2285</v>
      </c>
      <c r="B578" t="s">
        <v>580</v>
      </c>
      <c r="C578" t="s">
        <v>560</v>
      </c>
      <c r="D578" t="s">
        <v>377</v>
      </c>
      <c r="E578" t="s">
        <v>7</v>
      </c>
      <c r="F578">
        <v>1</v>
      </c>
      <c r="G578">
        <v>20</v>
      </c>
    </row>
    <row r="579" spans="1:7" x14ac:dyDescent="0.25">
      <c r="A579">
        <v>4808</v>
      </c>
      <c r="B579" t="s">
        <v>651</v>
      </c>
      <c r="C579" t="s">
        <v>560</v>
      </c>
      <c r="D579" t="s">
        <v>377</v>
      </c>
      <c r="E579" t="s">
        <v>25</v>
      </c>
      <c r="F579">
        <v>1</v>
      </c>
      <c r="G579">
        <v>83</v>
      </c>
    </row>
    <row r="580" spans="1:7" x14ac:dyDescent="0.25">
      <c r="A580">
        <v>4855</v>
      </c>
      <c r="B580" t="s">
        <v>653</v>
      </c>
      <c r="C580" t="s">
        <v>560</v>
      </c>
      <c r="D580" t="s">
        <v>377</v>
      </c>
      <c r="E580" t="s">
        <v>25</v>
      </c>
      <c r="F580">
        <v>1</v>
      </c>
      <c r="G580">
        <v>86</v>
      </c>
    </row>
    <row r="581" spans="1:7" x14ac:dyDescent="0.25">
      <c r="A581">
        <v>2738</v>
      </c>
      <c r="B581" t="s">
        <v>438</v>
      </c>
      <c r="C581" t="s">
        <v>560</v>
      </c>
      <c r="D581" t="s">
        <v>377</v>
      </c>
      <c r="E581" t="s">
        <v>15</v>
      </c>
      <c r="F581">
        <v>1</v>
      </c>
      <c r="G581">
        <v>16</v>
      </c>
    </row>
    <row r="582" spans="1:7" x14ac:dyDescent="0.25">
      <c r="A582">
        <v>9188</v>
      </c>
      <c r="B582" t="s">
        <v>575</v>
      </c>
      <c r="C582" t="s">
        <v>560</v>
      </c>
      <c r="D582" t="s">
        <v>377</v>
      </c>
      <c r="E582" t="s">
        <v>15</v>
      </c>
      <c r="F582">
        <v>1</v>
      </c>
      <c r="G582">
        <v>29</v>
      </c>
    </row>
    <row r="583" spans="1:7" x14ac:dyDescent="0.25">
      <c r="A583">
        <v>9034</v>
      </c>
      <c r="B583" t="s">
        <v>605</v>
      </c>
      <c r="C583" t="s">
        <v>561</v>
      </c>
      <c r="D583" t="s">
        <v>378</v>
      </c>
      <c r="E583" t="s">
        <v>15</v>
      </c>
      <c r="F583">
        <v>1</v>
      </c>
      <c r="G583">
        <v>12</v>
      </c>
    </row>
    <row r="584" spans="1:7" x14ac:dyDescent="0.25">
      <c r="A584">
        <v>9237</v>
      </c>
      <c r="B584" t="s">
        <v>633</v>
      </c>
      <c r="C584" t="s">
        <v>561</v>
      </c>
      <c r="D584" t="s">
        <v>378</v>
      </c>
      <c r="E584" t="s">
        <v>15</v>
      </c>
      <c r="F584">
        <v>1</v>
      </c>
      <c r="G584">
        <v>60</v>
      </c>
    </row>
    <row r="585" spans="1:7" x14ac:dyDescent="0.25">
      <c r="A585">
        <v>2738</v>
      </c>
      <c r="B585" t="s">
        <v>438</v>
      </c>
      <c r="C585" t="s">
        <v>561</v>
      </c>
      <c r="D585" t="s">
        <v>378</v>
      </c>
      <c r="E585" t="s">
        <v>15</v>
      </c>
      <c r="F585">
        <v>1</v>
      </c>
      <c r="G585">
        <v>115</v>
      </c>
    </row>
    <row r="586" spans="1:7" x14ac:dyDescent="0.25">
      <c r="A586">
        <v>9053</v>
      </c>
      <c r="B586" t="s">
        <v>576</v>
      </c>
      <c r="C586" t="s">
        <v>561</v>
      </c>
      <c r="D586" t="s">
        <v>378</v>
      </c>
      <c r="E586" t="s">
        <v>45</v>
      </c>
      <c r="F586">
        <v>1</v>
      </c>
      <c r="G586">
        <v>21</v>
      </c>
    </row>
    <row r="587" spans="1:7" x14ac:dyDescent="0.25">
      <c r="A587">
        <v>9237</v>
      </c>
      <c r="B587" t="s">
        <v>633</v>
      </c>
      <c r="C587" t="s">
        <v>562</v>
      </c>
      <c r="D587" t="s">
        <v>380</v>
      </c>
      <c r="E587" t="s">
        <v>15</v>
      </c>
      <c r="F587">
        <v>1</v>
      </c>
      <c r="G587">
        <v>70</v>
      </c>
    </row>
    <row r="588" spans="1:7" x14ac:dyDescent="0.25">
      <c r="A588">
        <v>4961</v>
      </c>
      <c r="B588" t="s">
        <v>144</v>
      </c>
      <c r="C588" t="s">
        <v>562</v>
      </c>
      <c r="D588" t="s">
        <v>380</v>
      </c>
      <c r="E588" t="s">
        <v>25</v>
      </c>
      <c r="F588">
        <v>1</v>
      </c>
      <c r="G588">
        <v>16</v>
      </c>
    </row>
    <row r="589" spans="1:7" x14ac:dyDescent="0.25">
      <c r="A589">
        <v>9201</v>
      </c>
      <c r="B589" t="s">
        <v>579</v>
      </c>
      <c r="C589" t="s">
        <v>562</v>
      </c>
      <c r="D589" t="s">
        <v>380</v>
      </c>
      <c r="E589" t="s">
        <v>15</v>
      </c>
      <c r="F589">
        <v>1</v>
      </c>
      <c r="G589">
        <v>64</v>
      </c>
    </row>
    <row r="590" spans="1:7" x14ac:dyDescent="0.25">
      <c r="A590">
        <v>2738</v>
      </c>
      <c r="B590" t="s">
        <v>438</v>
      </c>
      <c r="C590" t="s">
        <v>562</v>
      </c>
      <c r="D590" t="s">
        <v>380</v>
      </c>
      <c r="E590" t="s">
        <v>15</v>
      </c>
      <c r="F590">
        <v>1</v>
      </c>
      <c r="G590">
        <v>78</v>
      </c>
    </row>
    <row r="591" spans="1:7" x14ac:dyDescent="0.25">
      <c r="A591">
        <v>2738</v>
      </c>
      <c r="B591" t="s">
        <v>438</v>
      </c>
      <c r="C591" t="s">
        <v>563</v>
      </c>
      <c r="D591" t="s">
        <v>413</v>
      </c>
      <c r="E591" t="s">
        <v>15</v>
      </c>
      <c r="F591">
        <v>1</v>
      </c>
      <c r="G591">
        <v>139</v>
      </c>
    </row>
    <row r="592" spans="1:7" x14ac:dyDescent="0.25">
      <c r="A592">
        <v>9237</v>
      </c>
      <c r="B592" t="s">
        <v>633</v>
      </c>
      <c r="C592" t="s">
        <v>563</v>
      </c>
      <c r="D592" t="s">
        <v>413</v>
      </c>
      <c r="E592" t="s">
        <v>15</v>
      </c>
      <c r="F592">
        <v>1</v>
      </c>
      <c r="G592">
        <v>35</v>
      </c>
    </row>
    <row r="593" spans="1:7" x14ac:dyDescent="0.25">
      <c r="A593">
        <v>2283</v>
      </c>
      <c r="B593" t="s">
        <v>582</v>
      </c>
      <c r="C593" t="s">
        <v>564</v>
      </c>
      <c r="D593" t="s">
        <v>402</v>
      </c>
      <c r="E593" t="s">
        <v>7</v>
      </c>
      <c r="F593">
        <v>1</v>
      </c>
      <c r="G593">
        <v>40</v>
      </c>
    </row>
    <row r="594" spans="1:7" x14ac:dyDescent="0.25">
      <c r="A594">
        <v>4808</v>
      </c>
      <c r="B594" t="s">
        <v>651</v>
      </c>
      <c r="C594" t="s">
        <v>564</v>
      </c>
      <c r="D594" t="s">
        <v>402</v>
      </c>
      <c r="E594" t="s">
        <v>25</v>
      </c>
      <c r="F594">
        <v>1</v>
      </c>
      <c r="G594">
        <v>40</v>
      </c>
    </row>
    <row r="595" spans="1:7" x14ac:dyDescent="0.25">
      <c r="A595">
        <v>9201</v>
      </c>
      <c r="B595" t="s">
        <v>579</v>
      </c>
      <c r="C595" t="s">
        <v>564</v>
      </c>
      <c r="D595" t="s">
        <v>402</v>
      </c>
      <c r="E595" t="s">
        <v>15</v>
      </c>
      <c r="F595">
        <v>1</v>
      </c>
      <c r="G595">
        <v>82</v>
      </c>
    </row>
    <row r="596" spans="1:7" x14ac:dyDescent="0.25">
      <c r="A596">
        <v>2738</v>
      </c>
      <c r="B596" t="s">
        <v>438</v>
      </c>
      <c r="C596" t="s">
        <v>564</v>
      </c>
      <c r="D596" t="s">
        <v>402</v>
      </c>
      <c r="E596" t="s">
        <v>15</v>
      </c>
      <c r="F596">
        <v>1</v>
      </c>
      <c r="G596">
        <v>85</v>
      </c>
    </row>
    <row r="597" spans="1:7" x14ac:dyDescent="0.25">
      <c r="A597">
        <v>2735</v>
      </c>
      <c r="B597" t="s">
        <v>631</v>
      </c>
      <c r="C597" t="s">
        <v>564</v>
      </c>
      <c r="D597" t="s">
        <v>402</v>
      </c>
      <c r="E597" t="s">
        <v>15</v>
      </c>
      <c r="F597">
        <v>1</v>
      </c>
      <c r="G597">
        <v>4</v>
      </c>
    </row>
    <row r="598" spans="1:7" x14ac:dyDescent="0.25">
      <c r="A598">
        <v>9201</v>
      </c>
      <c r="B598" t="s">
        <v>579</v>
      </c>
      <c r="C598" t="s">
        <v>565</v>
      </c>
      <c r="D598" t="s">
        <v>412</v>
      </c>
      <c r="E598" t="s">
        <v>15</v>
      </c>
      <c r="F598">
        <v>1</v>
      </c>
      <c r="G598">
        <v>70</v>
      </c>
    </row>
    <row r="599" spans="1:7" x14ac:dyDescent="0.25">
      <c r="A599">
        <v>2738</v>
      </c>
      <c r="B599" t="s">
        <v>438</v>
      </c>
      <c r="C599" t="s">
        <v>565</v>
      </c>
      <c r="D599" t="s">
        <v>412</v>
      </c>
      <c r="E599" t="s">
        <v>15</v>
      </c>
      <c r="F599">
        <v>1</v>
      </c>
      <c r="G599">
        <v>100</v>
      </c>
    </row>
    <row r="600" spans="1:7" x14ac:dyDescent="0.25">
      <c r="A600">
        <v>9240</v>
      </c>
      <c r="B600" t="s">
        <v>54</v>
      </c>
      <c r="C600" t="s">
        <v>565</v>
      </c>
      <c r="D600" t="s">
        <v>412</v>
      </c>
      <c r="E600" t="s">
        <v>15</v>
      </c>
      <c r="F600">
        <v>1</v>
      </c>
      <c r="G600">
        <v>35</v>
      </c>
    </row>
    <row r="601" spans="1:7" x14ac:dyDescent="0.25">
      <c r="A601">
        <v>9237</v>
      </c>
      <c r="B601" t="s">
        <v>633</v>
      </c>
      <c r="C601" t="s">
        <v>565</v>
      </c>
      <c r="D601" t="s">
        <v>412</v>
      </c>
      <c r="E601" t="s">
        <v>15</v>
      </c>
      <c r="F601">
        <v>1</v>
      </c>
      <c r="G601">
        <v>10</v>
      </c>
    </row>
    <row r="602" spans="1:7" x14ac:dyDescent="0.25">
      <c r="A602">
        <v>9053</v>
      </c>
      <c r="B602" t="s">
        <v>576</v>
      </c>
      <c r="C602" t="s">
        <v>566</v>
      </c>
      <c r="D602" t="s">
        <v>411</v>
      </c>
      <c r="E602" t="s">
        <v>45</v>
      </c>
      <c r="F602">
        <v>1</v>
      </c>
      <c r="G602">
        <v>128</v>
      </c>
    </row>
    <row r="603" spans="1:7" x14ac:dyDescent="0.25">
      <c r="A603">
        <v>2738</v>
      </c>
      <c r="B603" t="s">
        <v>438</v>
      </c>
      <c r="C603" t="s">
        <v>566</v>
      </c>
      <c r="D603" t="s">
        <v>411</v>
      </c>
      <c r="E603" t="s">
        <v>15</v>
      </c>
      <c r="F603">
        <v>1</v>
      </c>
      <c r="G603">
        <v>41</v>
      </c>
    </row>
    <row r="604" spans="1:7" x14ac:dyDescent="0.25">
      <c r="A604">
        <v>2738</v>
      </c>
      <c r="B604" t="s">
        <v>438</v>
      </c>
      <c r="C604" t="s">
        <v>567</v>
      </c>
      <c r="D604" t="s">
        <v>410</v>
      </c>
      <c r="E604" t="s">
        <v>15</v>
      </c>
      <c r="F604">
        <v>1</v>
      </c>
      <c r="G604">
        <v>232</v>
      </c>
    </row>
    <row r="605" spans="1:7" x14ac:dyDescent="0.25">
      <c r="A605">
        <v>9201</v>
      </c>
      <c r="B605" t="s">
        <v>579</v>
      </c>
      <c r="C605" t="s">
        <v>687</v>
      </c>
      <c r="D605" t="s">
        <v>417</v>
      </c>
      <c r="E605" t="s">
        <v>15</v>
      </c>
      <c r="F605">
        <v>1</v>
      </c>
      <c r="G605">
        <v>47</v>
      </c>
    </row>
    <row r="606" spans="1:7" x14ac:dyDescent="0.25">
      <c r="A606">
        <v>9036</v>
      </c>
      <c r="B606" t="s">
        <v>610</v>
      </c>
      <c r="C606" t="s">
        <v>687</v>
      </c>
      <c r="D606" t="s">
        <v>417</v>
      </c>
      <c r="E606" t="s">
        <v>15</v>
      </c>
      <c r="F606">
        <v>1</v>
      </c>
      <c r="G606">
        <v>13</v>
      </c>
    </row>
    <row r="607" spans="1:7" x14ac:dyDescent="0.25">
      <c r="A607">
        <v>9053</v>
      </c>
      <c r="B607" t="s">
        <v>576</v>
      </c>
      <c r="C607" t="s">
        <v>687</v>
      </c>
      <c r="D607" t="s">
        <v>417</v>
      </c>
      <c r="E607" t="s">
        <v>45</v>
      </c>
      <c r="F607">
        <v>1</v>
      </c>
      <c r="G607">
        <v>90</v>
      </c>
    </row>
    <row r="608" spans="1:7" x14ac:dyDescent="0.25">
      <c r="A608">
        <v>2738</v>
      </c>
      <c r="B608" t="s">
        <v>438</v>
      </c>
      <c r="C608" t="s">
        <v>568</v>
      </c>
      <c r="D608" t="s">
        <v>409</v>
      </c>
      <c r="E608" t="s">
        <v>15</v>
      </c>
      <c r="F608">
        <v>1</v>
      </c>
      <c r="G608">
        <v>163</v>
      </c>
    </row>
    <row r="609" spans="1:7" x14ac:dyDescent="0.25">
      <c r="A609">
        <v>2543</v>
      </c>
      <c r="B609" t="s">
        <v>588</v>
      </c>
      <c r="C609" t="s">
        <v>569</v>
      </c>
      <c r="D609" t="s">
        <v>403</v>
      </c>
      <c r="E609" t="s">
        <v>7</v>
      </c>
      <c r="F609">
        <v>1</v>
      </c>
      <c r="G609">
        <v>13</v>
      </c>
    </row>
    <row r="610" spans="1:7" x14ac:dyDescent="0.25">
      <c r="A610">
        <v>4855</v>
      </c>
      <c r="B610" t="s">
        <v>653</v>
      </c>
      <c r="C610" t="s">
        <v>569</v>
      </c>
      <c r="D610" t="s">
        <v>403</v>
      </c>
      <c r="E610" t="s">
        <v>25</v>
      </c>
      <c r="F610">
        <v>1</v>
      </c>
      <c r="G610">
        <v>116</v>
      </c>
    </row>
    <row r="611" spans="1:7" x14ac:dyDescent="0.25">
      <c r="A611">
        <v>2738</v>
      </c>
      <c r="B611" t="s">
        <v>438</v>
      </c>
      <c r="C611" t="s">
        <v>569</v>
      </c>
      <c r="D611" t="s">
        <v>403</v>
      </c>
      <c r="E611" t="s">
        <v>15</v>
      </c>
      <c r="F611">
        <v>1</v>
      </c>
      <c r="G611">
        <v>32</v>
      </c>
    </row>
    <row r="612" spans="1:7" x14ac:dyDescent="0.25">
      <c r="A612">
        <v>4808</v>
      </c>
      <c r="B612" t="s">
        <v>651</v>
      </c>
      <c r="C612" t="s">
        <v>688</v>
      </c>
      <c r="D612" t="s">
        <v>401</v>
      </c>
      <c r="E612" t="s">
        <v>25</v>
      </c>
      <c r="F612">
        <v>1</v>
      </c>
      <c r="G612">
        <v>80</v>
      </c>
    </row>
    <row r="613" spans="1:7" x14ac:dyDescent="0.25">
      <c r="A613">
        <v>2283</v>
      </c>
      <c r="B613" t="s">
        <v>582</v>
      </c>
      <c r="C613" t="s">
        <v>688</v>
      </c>
      <c r="D613" t="s">
        <v>401</v>
      </c>
      <c r="E613" t="s">
        <v>7</v>
      </c>
      <c r="F613">
        <v>1</v>
      </c>
      <c r="G613">
        <v>28</v>
      </c>
    </row>
    <row r="614" spans="1:7" x14ac:dyDescent="0.25">
      <c r="A614">
        <v>9201</v>
      </c>
      <c r="B614" t="s">
        <v>579</v>
      </c>
      <c r="C614" t="s">
        <v>688</v>
      </c>
      <c r="D614" t="s">
        <v>401</v>
      </c>
      <c r="E614" t="s">
        <v>15</v>
      </c>
      <c r="F614">
        <v>1</v>
      </c>
      <c r="G614">
        <v>15</v>
      </c>
    </row>
    <row r="615" spans="1:7" x14ac:dyDescent="0.25">
      <c r="A615">
        <v>9034</v>
      </c>
      <c r="B615" t="s">
        <v>605</v>
      </c>
      <c r="C615" t="s">
        <v>688</v>
      </c>
      <c r="D615" t="s">
        <v>401</v>
      </c>
      <c r="E615" t="s">
        <v>15</v>
      </c>
      <c r="F615">
        <v>1</v>
      </c>
      <c r="G615">
        <v>41</v>
      </c>
    </row>
    <row r="616" spans="1:7" x14ac:dyDescent="0.25">
      <c r="A616">
        <v>9034</v>
      </c>
      <c r="B616" t="s">
        <v>605</v>
      </c>
      <c r="C616" t="s">
        <v>689</v>
      </c>
      <c r="D616" t="s">
        <v>416</v>
      </c>
      <c r="E616" t="s">
        <v>15</v>
      </c>
      <c r="F616">
        <v>1</v>
      </c>
      <c r="G616">
        <v>137</v>
      </c>
    </row>
    <row r="617" spans="1:7" x14ac:dyDescent="0.25">
      <c r="A617">
        <v>2283</v>
      </c>
      <c r="B617" t="s">
        <v>582</v>
      </c>
      <c r="C617" t="s">
        <v>690</v>
      </c>
      <c r="D617" t="s">
        <v>400</v>
      </c>
      <c r="E617" t="s">
        <v>7</v>
      </c>
      <c r="F617">
        <v>1</v>
      </c>
      <c r="G617">
        <v>11</v>
      </c>
    </row>
    <row r="618" spans="1:7" x14ac:dyDescent="0.25">
      <c r="A618">
        <v>9033</v>
      </c>
      <c r="B618" t="s">
        <v>618</v>
      </c>
      <c r="C618" t="s">
        <v>690</v>
      </c>
      <c r="D618" t="s">
        <v>400</v>
      </c>
      <c r="E618" t="s">
        <v>15</v>
      </c>
      <c r="F618">
        <v>1</v>
      </c>
      <c r="G618">
        <v>23</v>
      </c>
    </row>
    <row r="619" spans="1:7" x14ac:dyDescent="0.25">
      <c r="A619">
        <v>9227</v>
      </c>
      <c r="B619" t="s">
        <v>178</v>
      </c>
      <c r="C619" t="s">
        <v>690</v>
      </c>
      <c r="D619" t="s">
        <v>400</v>
      </c>
      <c r="E619" t="s">
        <v>15</v>
      </c>
      <c r="F619">
        <v>1</v>
      </c>
      <c r="G619">
        <v>120</v>
      </c>
    </row>
    <row r="620" spans="1:7" x14ac:dyDescent="0.25">
      <c r="A620">
        <v>9033</v>
      </c>
      <c r="B620" t="s">
        <v>618</v>
      </c>
      <c r="C620" t="s">
        <v>691</v>
      </c>
      <c r="D620" t="s">
        <v>418</v>
      </c>
      <c r="E620" t="s">
        <v>15</v>
      </c>
      <c r="F620">
        <v>1</v>
      </c>
      <c r="G620">
        <v>16</v>
      </c>
    </row>
    <row r="621" spans="1:7" x14ac:dyDescent="0.25">
      <c r="A621">
        <v>9201</v>
      </c>
      <c r="B621" t="s">
        <v>579</v>
      </c>
      <c r="C621" t="s">
        <v>691</v>
      </c>
      <c r="D621" t="s">
        <v>418</v>
      </c>
      <c r="E621" t="s">
        <v>15</v>
      </c>
      <c r="F621">
        <v>1</v>
      </c>
      <c r="G621">
        <v>55</v>
      </c>
    </row>
    <row r="622" spans="1:7" x14ac:dyDescent="0.25">
      <c r="A622">
        <v>9227</v>
      </c>
      <c r="B622" t="s">
        <v>178</v>
      </c>
      <c r="C622" t="s">
        <v>691</v>
      </c>
      <c r="D622" t="s">
        <v>418</v>
      </c>
      <c r="E622" t="s">
        <v>15</v>
      </c>
      <c r="F622">
        <v>1</v>
      </c>
      <c r="G622">
        <v>120</v>
      </c>
    </row>
    <row r="623" spans="1:7" x14ac:dyDescent="0.25">
      <c r="A623">
        <v>2735</v>
      </c>
      <c r="B623" t="s">
        <v>631</v>
      </c>
      <c r="C623" t="s">
        <v>692</v>
      </c>
      <c r="D623" t="s">
        <v>404</v>
      </c>
      <c r="E623" t="s">
        <v>15</v>
      </c>
      <c r="F623">
        <v>1</v>
      </c>
      <c r="G623">
        <v>2</v>
      </c>
    </row>
    <row r="624" spans="1:7" x14ac:dyDescent="0.25">
      <c r="A624">
        <v>9201</v>
      </c>
      <c r="B624" t="s">
        <v>579</v>
      </c>
      <c r="C624" t="s">
        <v>692</v>
      </c>
      <c r="D624" t="s">
        <v>404</v>
      </c>
      <c r="E624" t="s">
        <v>15</v>
      </c>
      <c r="F624">
        <v>1</v>
      </c>
      <c r="G624">
        <v>95</v>
      </c>
    </row>
    <row r="625" spans="1:7" x14ac:dyDescent="0.25">
      <c r="A625">
        <v>9034</v>
      </c>
      <c r="B625" t="s">
        <v>605</v>
      </c>
      <c r="C625" t="s">
        <v>692</v>
      </c>
      <c r="D625" t="s">
        <v>404</v>
      </c>
      <c r="E625" t="s">
        <v>15</v>
      </c>
      <c r="F625">
        <v>1</v>
      </c>
      <c r="G625">
        <v>126</v>
      </c>
    </row>
    <row r="626" spans="1:7" x14ac:dyDescent="0.25">
      <c r="A626">
        <v>9053</v>
      </c>
      <c r="B626" t="s">
        <v>576</v>
      </c>
      <c r="C626" t="s">
        <v>693</v>
      </c>
      <c r="D626" t="s">
        <v>415</v>
      </c>
      <c r="E626" t="s">
        <v>45</v>
      </c>
      <c r="F626">
        <v>1</v>
      </c>
      <c r="G626">
        <v>50</v>
      </c>
    </row>
    <row r="627" spans="1:7" x14ac:dyDescent="0.25">
      <c r="A627">
        <v>9034</v>
      </c>
      <c r="B627" t="s">
        <v>605</v>
      </c>
      <c r="C627" t="s">
        <v>693</v>
      </c>
      <c r="D627" t="s">
        <v>415</v>
      </c>
      <c r="E627" t="s">
        <v>15</v>
      </c>
      <c r="F627">
        <v>1</v>
      </c>
      <c r="G627">
        <v>112</v>
      </c>
    </row>
    <row r="628" spans="1:7" x14ac:dyDescent="0.25">
      <c r="A628">
        <v>9227</v>
      </c>
      <c r="B628" t="s">
        <v>178</v>
      </c>
      <c r="C628" t="s">
        <v>570</v>
      </c>
      <c r="D628" t="s">
        <v>408</v>
      </c>
      <c r="E628" t="s">
        <v>15</v>
      </c>
      <c r="F628">
        <v>1</v>
      </c>
      <c r="G628">
        <v>117</v>
      </c>
    </row>
    <row r="629" spans="1:7" x14ac:dyDescent="0.25">
      <c r="A629">
        <v>2738</v>
      </c>
      <c r="B629" t="s">
        <v>438</v>
      </c>
      <c r="C629" t="s">
        <v>570</v>
      </c>
      <c r="D629" t="s">
        <v>408</v>
      </c>
      <c r="E629" t="s">
        <v>15</v>
      </c>
      <c r="F629">
        <v>1</v>
      </c>
      <c r="G629">
        <v>80</v>
      </c>
    </row>
    <row r="630" spans="1:7" x14ac:dyDescent="0.25">
      <c r="A630">
        <v>9053</v>
      </c>
      <c r="B630" t="s">
        <v>576</v>
      </c>
      <c r="C630" t="s">
        <v>694</v>
      </c>
      <c r="D630" t="s">
        <v>414</v>
      </c>
      <c r="E630" t="s">
        <v>45</v>
      </c>
      <c r="F630">
        <v>1</v>
      </c>
      <c r="G630">
        <v>18</v>
      </c>
    </row>
    <row r="631" spans="1:7" x14ac:dyDescent="0.25">
      <c r="A631">
        <v>9237</v>
      </c>
      <c r="B631" t="s">
        <v>633</v>
      </c>
      <c r="C631" t="s">
        <v>694</v>
      </c>
      <c r="D631" t="s">
        <v>414</v>
      </c>
      <c r="E631" t="s">
        <v>15</v>
      </c>
      <c r="F631">
        <v>1</v>
      </c>
      <c r="G631">
        <v>14</v>
      </c>
    </row>
    <row r="632" spans="1:7" x14ac:dyDescent="0.25">
      <c r="A632">
        <v>9064</v>
      </c>
      <c r="B632" t="s">
        <v>603</v>
      </c>
      <c r="C632" t="s">
        <v>694</v>
      </c>
      <c r="D632" t="s">
        <v>414</v>
      </c>
      <c r="E632" t="s">
        <v>15</v>
      </c>
      <c r="F632">
        <v>1</v>
      </c>
      <c r="G632">
        <v>123</v>
      </c>
    </row>
    <row r="633" spans="1:7" x14ac:dyDescent="0.25">
      <c r="A633">
        <v>9240</v>
      </c>
      <c r="B633" t="s">
        <v>54</v>
      </c>
      <c r="C633" t="s">
        <v>694</v>
      </c>
      <c r="D633" t="s">
        <v>414</v>
      </c>
      <c r="E633" t="s">
        <v>15</v>
      </c>
      <c r="F633">
        <v>1</v>
      </c>
      <c r="G633">
        <v>14</v>
      </c>
    </row>
    <row r="634" spans="1:7" x14ac:dyDescent="0.25">
      <c r="A634">
        <v>4855</v>
      </c>
      <c r="B634" t="s">
        <v>653</v>
      </c>
      <c r="C634" t="s">
        <v>571</v>
      </c>
      <c r="D634" t="s">
        <v>407</v>
      </c>
      <c r="E634" t="s">
        <v>25</v>
      </c>
      <c r="F634">
        <v>1</v>
      </c>
      <c r="G634">
        <v>98</v>
      </c>
    </row>
    <row r="635" spans="1:7" x14ac:dyDescent="0.25">
      <c r="A635">
        <v>9240</v>
      </c>
      <c r="B635" t="s">
        <v>54</v>
      </c>
      <c r="C635" t="s">
        <v>571</v>
      </c>
      <c r="D635" t="s">
        <v>407</v>
      </c>
      <c r="E635" t="s">
        <v>15</v>
      </c>
      <c r="F635">
        <v>1</v>
      </c>
      <c r="G635">
        <v>18</v>
      </c>
    </row>
    <row r="636" spans="1:7" x14ac:dyDescent="0.25">
      <c r="A636">
        <v>9064</v>
      </c>
      <c r="B636" t="s">
        <v>603</v>
      </c>
      <c r="C636" t="s">
        <v>571</v>
      </c>
      <c r="D636" t="s">
        <v>407</v>
      </c>
      <c r="E636" t="s">
        <v>15</v>
      </c>
      <c r="F636">
        <v>1</v>
      </c>
      <c r="G636">
        <v>24</v>
      </c>
    </row>
    <row r="637" spans="1:7" x14ac:dyDescent="0.25">
      <c r="A637">
        <v>9237</v>
      </c>
      <c r="B637" t="s">
        <v>633</v>
      </c>
      <c r="C637" t="s">
        <v>571</v>
      </c>
      <c r="D637" t="s">
        <v>407</v>
      </c>
      <c r="E637" t="s">
        <v>15</v>
      </c>
      <c r="F637">
        <v>1</v>
      </c>
      <c r="G637">
        <v>6</v>
      </c>
    </row>
    <row r="638" spans="1:7" x14ac:dyDescent="0.25">
      <c r="A638">
        <v>2738</v>
      </c>
      <c r="B638" t="s">
        <v>438</v>
      </c>
      <c r="C638" t="s">
        <v>571</v>
      </c>
      <c r="D638" t="s">
        <v>407</v>
      </c>
      <c r="E638" t="s">
        <v>15</v>
      </c>
      <c r="F638">
        <v>1</v>
      </c>
      <c r="G638">
        <v>26</v>
      </c>
    </row>
    <row r="639" spans="1:7" x14ac:dyDescent="0.25">
      <c r="A639">
        <v>9053</v>
      </c>
      <c r="B639" t="s">
        <v>576</v>
      </c>
      <c r="C639" t="s">
        <v>695</v>
      </c>
      <c r="D639" t="s">
        <v>399</v>
      </c>
      <c r="E639" t="s">
        <v>45</v>
      </c>
      <c r="F639">
        <v>1</v>
      </c>
      <c r="G639">
        <v>29</v>
      </c>
    </row>
    <row r="640" spans="1:7" x14ac:dyDescent="0.25">
      <c r="A640">
        <v>2283</v>
      </c>
      <c r="B640" t="s">
        <v>582</v>
      </c>
      <c r="C640" t="s">
        <v>695</v>
      </c>
      <c r="D640" t="s">
        <v>399</v>
      </c>
      <c r="E640" t="s">
        <v>7</v>
      </c>
      <c r="F640">
        <v>1</v>
      </c>
      <c r="G640">
        <v>27</v>
      </c>
    </row>
    <row r="641" spans="1:7" x14ac:dyDescent="0.25">
      <c r="A641">
        <v>4808</v>
      </c>
      <c r="B641" t="s">
        <v>651</v>
      </c>
      <c r="C641" t="s">
        <v>695</v>
      </c>
      <c r="D641" t="s">
        <v>399</v>
      </c>
      <c r="E641" t="s">
        <v>25</v>
      </c>
      <c r="F641">
        <v>1</v>
      </c>
      <c r="G641">
        <v>32</v>
      </c>
    </row>
    <row r="642" spans="1:7" x14ac:dyDescent="0.25">
      <c r="A642">
        <v>4855</v>
      </c>
      <c r="B642" t="s">
        <v>653</v>
      </c>
      <c r="C642" t="s">
        <v>695</v>
      </c>
      <c r="D642" t="s">
        <v>399</v>
      </c>
      <c r="E642" t="s">
        <v>25</v>
      </c>
      <c r="F642">
        <v>1</v>
      </c>
      <c r="G642">
        <v>63</v>
      </c>
    </row>
    <row r="643" spans="1:7" x14ac:dyDescent="0.25">
      <c r="A643">
        <v>9213</v>
      </c>
      <c r="B643" t="s">
        <v>596</v>
      </c>
      <c r="C643" t="s">
        <v>695</v>
      </c>
      <c r="D643" t="s">
        <v>399</v>
      </c>
      <c r="E643" t="s">
        <v>15</v>
      </c>
      <c r="F643">
        <v>1</v>
      </c>
      <c r="G643">
        <v>73</v>
      </c>
    </row>
    <row r="644" spans="1:7" x14ac:dyDescent="0.25">
      <c r="A644">
        <v>4855</v>
      </c>
      <c r="B644" t="s">
        <v>653</v>
      </c>
      <c r="C644" t="s">
        <v>572</v>
      </c>
      <c r="D644" t="s">
        <v>406</v>
      </c>
      <c r="E644" t="s">
        <v>25</v>
      </c>
      <c r="F644">
        <v>1</v>
      </c>
      <c r="G644">
        <v>14</v>
      </c>
    </row>
    <row r="645" spans="1:7" x14ac:dyDescent="0.25">
      <c r="A645">
        <v>9213</v>
      </c>
      <c r="B645" t="s">
        <v>596</v>
      </c>
      <c r="C645" t="s">
        <v>572</v>
      </c>
      <c r="D645" t="s">
        <v>406</v>
      </c>
      <c r="E645" t="s">
        <v>15</v>
      </c>
      <c r="F645">
        <v>1</v>
      </c>
      <c r="G645">
        <v>90</v>
      </c>
    </row>
    <row r="646" spans="1:7" x14ac:dyDescent="0.25">
      <c r="A646">
        <v>2738</v>
      </c>
      <c r="B646" t="s">
        <v>438</v>
      </c>
      <c r="C646" t="s">
        <v>572</v>
      </c>
      <c r="D646" t="s">
        <v>406</v>
      </c>
      <c r="E646" t="s">
        <v>15</v>
      </c>
      <c r="F646">
        <v>1</v>
      </c>
      <c r="G646">
        <v>40</v>
      </c>
    </row>
    <row r="647" spans="1:7" x14ac:dyDescent="0.25">
      <c r="A647">
        <v>9053</v>
      </c>
      <c r="B647" t="s">
        <v>576</v>
      </c>
      <c r="C647" t="s">
        <v>572</v>
      </c>
      <c r="D647" t="s">
        <v>406</v>
      </c>
      <c r="E647" t="s">
        <v>45</v>
      </c>
      <c r="F647">
        <v>1</v>
      </c>
      <c r="G647">
        <v>50</v>
      </c>
    </row>
    <row r="648" spans="1:7" x14ac:dyDescent="0.25">
      <c r="A648">
        <v>9213</v>
      </c>
      <c r="B648" t="s">
        <v>596</v>
      </c>
      <c r="C648" t="s">
        <v>573</v>
      </c>
      <c r="D648" t="s">
        <v>405</v>
      </c>
      <c r="E648" t="s">
        <v>15</v>
      </c>
      <c r="F648">
        <v>1</v>
      </c>
      <c r="G648">
        <v>34</v>
      </c>
    </row>
    <row r="649" spans="1:7" x14ac:dyDescent="0.25">
      <c r="A649">
        <v>9053</v>
      </c>
      <c r="B649" t="s">
        <v>576</v>
      </c>
      <c r="C649" t="s">
        <v>573</v>
      </c>
      <c r="D649" t="s">
        <v>405</v>
      </c>
      <c r="E649" t="s">
        <v>45</v>
      </c>
      <c r="F649">
        <v>1</v>
      </c>
      <c r="G649">
        <v>120</v>
      </c>
    </row>
    <row r="650" spans="1:7" x14ac:dyDescent="0.25">
      <c r="A650">
        <v>2738</v>
      </c>
      <c r="B650" t="s">
        <v>438</v>
      </c>
      <c r="C650" t="s">
        <v>573</v>
      </c>
      <c r="D650" t="s">
        <v>405</v>
      </c>
      <c r="E650" t="s">
        <v>15</v>
      </c>
      <c r="F650">
        <v>1</v>
      </c>
      <c r="G650">
        <v>31</v>
      </c>
    </row>
    <row r="651" spans="1:7" x14ac:dyDescent="0.25">
      <c r="B651" t="s">
        <v>149</v>
      </c>
      <c r="D651" t="s">
        <v>696</v>
      </c>
      <c r="E651" t="s">
        <v>149</v>
      </c>
      <c r="G651">
        <v>0</v>
      </c>
    </row>
    <row r="652" spans="1:7" x14ac:dyDescent="0.25">
      <c r="B652" t="s">
        <v>149</v>
      </c>
      <c r="D652" t="s">
        <v>696</v>
      </c>
      <c r="E652" t="s">
        <v>149</v>
      </c>
      <c r="G652">
        <v>0</v>
      </c>
    </row>
    <row r="653" spans="1:7" x14ac:dyDescent="0.25">
      <c r="B653" t="s">
        <v>149</v>
      </c>
      <c r="D653" t="s">
        <v>696</v>
      </c>
      <c r="E653" t="s">
        <v>149</v>
      </c>
      <c r="G653">
        <v>0</v>
      </c>
    </row>
    <row r="654" spans="1:7" x14ac:dyDescent="0.25">
      <c r="B654" t="s">
        <v>149</v>
      </c>
      <c r="D654" t="s">
        <v>696</v>
      </c>
      <c r="E654" t="s">
        <v>149</v>
      </c>
      <c r="G654">
        <v>0</v>
      </c>
    </row>
    <row r="655" spans="1:7" x14ac:dyDescent="0.25">
      <c r="B655" t="s">
        <v>149</v>
      </c>
      <c r="D655" t="s">
        <v>696</v>
      </c>
      <c r="E655" t="s">
        <v>149</v>
      </c>
      <c r="G655">
        <v>0</v>
      </c>
    </row>
    <row r="656" spans="1:7" x14ac:dyDescent="0.25">
      <c r="B656" t="s">
        <v>149</v>
      </c>
      <c r="D656" t="s">
        <v>696</v>
      </c>
      <c r="E656" t="s">
        <v>149</v>
      </c>
      <c r="G656">
        <v>0</v>
      </c>
    </row>
    <row r="657" spans="2:7" x14ac:dyDescent="0.25">
      <c r="B657" t="s">
        <v>149</v>
      </c>
      <c r="D657" t="s">
        <v>696</v>
      </c>
      <c r="E657" t="s">
        <v>149</v>
      </c>
      <c r="G657">
        <v>0</v>
      </c>
    </row>
    <row r="658" spans="2:7" x14ac:dyDescent="0.25">
      <c r="B658" t="s">
        <v>149</v>
      </c>
      <c r="D658" t="s">
        <v>696</v>
      </c>
      <c r="E658" t="s">
        <v>149</v>
      </c>
      <c r="G658">
        <v>0</v>
      </c>
    </row>
    <row r="659" spans="2:7" x14ac:dyDescent="0.25">
      <c r="B659" t="s">
        <v>149</v>
      </c>
      <c r="D659" t="s">
        <v>696</v>
      </c>
      <c r="E659" t="s">
        <v>149</v>
      </c>
      <c r="G659">
        <v>0</v>
      </c>
    </row>
    <row r="660" spans="2:7" x14ac:dyDescent="0.25">
      <c r="B660" t="s">
        <v>149</v>
      </c>
      <c r="D660" t="s">
        <v>696</v>
      </c>
      <c r="E660" t="s">
        <v>149</v>
      </c>
      <c r="G660">
        <v>0</v>
      </c>
    </row>
    <row r="661" spans="2:7" x14ac:dyDescent="0.25">
      <c r="B661" t="s">
        <v>149</v>
      </c>
      <c r="D661" t="s">
        <v>696</v>
      </c>
      <c r="E661" t="s">
        <v>149</v>
      </c>
      <c r="G661">
        <v>0</v>
      </c>
    </row>
    <row r="662" spans="2:7" x14ac:dyDescent="0.25">
      <c r="B662" t="s">
        <v>149</v>
      </c>
      <c r="D662" t="s">
        <v>696</v>
      </c>
      <c r="E662" t="s">
        <v>149</v>
      </c>
      <c r="G662">
        <v>0</v>
      </c>
    </row>
    <row r="663" spans="2:7" x14ac:dyDescent="0.25">
      <c r="B663" t="s">
        <v>149</v>
      </c>
      <c r="D663" t="s">
        <v>696</v>
      </c>
      <c r="E663" t="s">
        <v>149</v>
      </c>
      <c r="G663">
        <v>0</v>
      </c>
    </row>
    <row r="664" spans="2:7" x14ac:dyDescent="0.25">
      <c r="B664" t="s">
        <v>149</v>
      </c>
      <c r="D664" t="s">
        <v>696</v>
      </c>
      <c r="E664" t="s">
        <v>149</v>
      </c>
      <c r="G664">
        <v>0</v>
      </c>
    </row>
    <row r="665" spans="2:7" x14ac:dyDescent="0.25">
      <c r="B665" t="s">
        <v>149</v>
      </c>
      <c r="D665" t="s">
        <v>696</v>
      </c>
      <c r="E665" t="s">
        <v>149</v>
      </c>
      <c r="G665">
        <v>0</v>
      </c>
    </row>
    <row r="666" spans="2:7" x14ac:dyDescent="0.25">
      <c r="B666" t="s">
        <v>149</v>
      </c>
      <c r="D666" t="s">
        <v>696</v>
      </c>
      <c r="E666" t="s">
        <v>149</v>
      </c>
      <c r="G666">
        <v>0</v>
      </c>
    </row>
    <row r="667" spans="2:7" x14ac:dyDescent="0.25">
      <c r="B667" t="s">
        <v>149</v>
      </c>
      <c r="D667" t="s">
        <v>696</v>
      </c>
      <c r="E667" t="s">
        <v>149</v>
      </c>
      <c r="G667">
        <v>0</v>
      </c>
    </row>
    <row r="668" spans="2:7" x14ac:dyDescent="0.25">
      <c r="B668" t="s">
        <v>149</v>
      </c>
      <c r="D668" t="s">
        <v>696</v>
      </c>
      <c r="E668" t="s">
        <v>149</v>
      </c>
      <c r="G668">
        <v>0</v>
      </c>
    </row>
    <row r="669" spans="2:7" x14ac:dyDescent="0.25">
      <c r="B669" t="s">
        <v>149</v>
      </c>
      <c r="D669" t="s">
        <v>696</v>
      </c>
      <c r="E669" t="s">
        <v>149</v>
      </c>
      <c r="G669">
        <v>0</v>
      </c>
    </row>
    <row r="670" spans="2:7" x14ac:dyDescent="0.25">
      <c r="B670" t="s">
        <v>149</v>
      </c>
      <c r="D670" t="s">
        <v>696</v>
      </c>
      <c r="E670" t="s">
        <v>149</v>
      </c>
      <c r="G670">
        <v>0</v>
      </c>
    </row>
    <row r="671" spans="2:7" x14ac:dyDescent="0.25">
      <c r="B671" t="s">
        <v>149</v>
      </c>
      <c r="D671" t="s">
        <v>696</v>
      </c>
      <c r="E671" t="s">
        <v>149</v>
      </c>
      <c r="G671">
        <v>0</v>
      </c>
    </row>
    <row r="672" spans="2:7" x14ac:dyDescent="0.25">
      <c r="B672" t="s">
        <v>149</v>
      </c>
      <c r="D672" t="s">
        <v>696</v>
      </c>
      <c r="E672" t="s">
        <v>149</v>
      </c>
      <c r="G672">
        <v>0</v>
      </c>
    </row>
    <row r="673" spans="2:7" x14ac:dyDescent="0.25">
      <c r="B673" t="s">
        <v>149</v>
      </c>
      <c r="D673" t="s">
        <v>696</v>
      </c>
      <c r="E673" t="s">
        <v>149</v>
      </c>
      <c r="G673">
        <v>0</v>
      </c>
    </row>
    <row r="674" spans="2:7" x14ac:dyDescent="0.25">
      <c r="B674" t="s">
        <v>149</v>
      </c>
      <c r="D674" t="s">
        <v>696</v>
      </c>
      <c r="E674" t="s">
        <v>149</v>
      </c>
      <c r="G674">
        <v>0</v>
      </c>
    </row>
    <row r="675" spans="2:7" x14ac:dyDescent="0.25">
      <c r="B675" t="s">
        <v>149</v>
      </c>
      <c r="D675" t="s">
        <v>696</v>
      </c>
      <c r="E675" t="s">
        <v>149</v>
      </c>
      <c r="G675">
        <v>0</v>
      </c>
    </row>
    <row r="676" spans="2:7" x14ac:dyDescent="0.25">
      <c r="B676" t="s">
        <v>149</v>
      </c>
      <c r="D676" t="s">
        <v>696</v>
      </c>
      <c r="E676" t="s">
        <v>149</v>
      </c>
      <c r="G676">
        <v>0</v>
      </c>
    </row>
    <row r="677" spans="2:7" x14ac:dyDescent="0.25">
      <c r="B677" t="s">
        <v>149</v>
      </c>
      <c r="D677" t="s">
        <v>696</v>
      </c>
      <c r="E677" t="s">
        <v>149</v>
      </c>
      <c r="G677">
        <v>0</v>
      </c>
    </row>
    <row r="678" spans="2:7" x14ac:dyDescent="0.25">
      <c r="B678" t="s">
        <v>149</v>
      </c>
      <c r="D678" t="s">
        <v>696</v>
      </c>
      <c r="E678" t="s">
        <v>149</v>
      </c>
      <c r="G678">
        <v>0</v>
      </c>
    </row>
    <row r="679" spans="2:7" x14ac:dyDescent="0.25">
      <c r="B679" t="s">
        <v>149</v>
      </c>
      <c r="D679" t="s">
        <v>696</v>
      </c>
      <c r="E679" t="s">
        <v>149</v>
      </c>
      <c r="G679">
        <v>0</v>
      </c>
    </row>
    <row r="680" spans="2:7" x14ac:dyDescent="0.25">
      <c r="B680" t="s">
        <v>149</v>
      </c>
      <c r="D680" t="s">
        <v>696</v>
      </c>
      <c r="E680" t="s">
        <v>149</v>
      </c>
      <c r="G680">
        <v>0</v>
      </c>
    </row>
    <row r="681" spans="2:7" x14ac:dyDescent="0.25">
      <c r="B681" t="s">
        <v>149</v>
      </c>
      <c r="D681" t="s">
        <v>696</v>
      </c>
      <c r="E681" t="s">
        <v>149</v>
      </c>
      <c r="G681">
        <v>0</v>
      </c>
    </row>
    <row r="682" spans="2:7" x14ac:dyDescent="0.25">
      <c r="B682" t="s">
        <v>149</v>
      </c>
      <c r="D682" t="s">
        <v>696</v>
      </c>
      <c r="E682" t="s">
        <v>149</v>
      </c>
      <c r="G682">
        <v>0</v>
      </c>
    </row>
    <row r="683" spans="2:7" x14ac:dyDescent="0.25">
      <c r="B683" t="s">
        <v>149</v>
      </c>
      <c r="D683" t="s">
        <v>696</v>
      </c>
      <c r="E683" t="s">
        <v>149</v>
      </c>
      <c r="G683">
        <v>0</v>
      </c>
    </row>
    <row r="684" spans="2:7" x14ac:dyDescent="0.25">
      <c r="B684" t="s">
        <v>149</v>
      </c>
      <c r="D684" t="s">
        <v>696</v>
      </c>
      <c r="E684" t="s">
        <v>149</v>
      </c>
      <c r="G684">
        <v>0</v>
      </c>
    </row>
    <row r="685" spans="2:7" x14ac:dyDescent="0.25">
      <c r="B685" t="s">
        <v>149</v>
      </c>
      <c r="D685" t="s">
        <v>696</v>
      </c>
      <c r="E685" t="s">
        <v>149</v>
      </c>
      <c r="G685">
        <v>0</v>
      </c>
    </row>
    <row r="686" spans="2:7" x14ac:dyDescent="0.25">
      <c r="B686" t="s">
        <v>149</v>
      </c>
      <c r="D686" t="s">
        <v>696</v>
      </c>
      <c r="E686" t="s">
        <v>149</v>
      </c>
      <c r="G686">
        <v>0</v>
      </c>
    </row>
    <row r="687" spans="2:7" x14ac:dyDescent="0.25">
      <c r="B687" t="s">
        <v>149</v>
      </c>
      <c r="D687" t="s">
        <v>696</v>
      </c>
      <c r="E687" t="s">
        <v>149</v>
      </c>
      <c r="G687">
        <v>0</v>
      </c>
    </row>
    <row r="688" spans="2:7" x14ac:dyDescent="0.25">
      <c r="B688" t="s">
        <v>149</v>
      </c>
      <c r="D688" t="s">
        <v>696</v>
      </c>
      <c r="E688" t="s">
        <v>149</v>
      </c>
      <c r="G688">
        <v>0</v>
      </c>
    </row>
    <row r="689" spans="2:7" x14ac:dyDescent="0.25">
      <c r="B689" t="s">
        <v>149</v>
      </c>
      <c r="D689" t="s">
        <v>696</v>
      </c>
      <c r="E689" t="s">
        <v>149</v>
      </c>
      <c r="G689">
        <v>0</v>
      </c>
    </row>
    <row r="690" spans="2:7" x14ac:dyDescent="0.25">
      <c r="B690" t="s">
        <v>149</v>
      </c>
      <c r="D690" t="s">
        <v>696</v>
      </c>
      <c r="E690" t="s">
        <v>149</v>
      </c>
      <c r="G690">
        <v>0</v>
      </c>
    </row>
    <row r="691" spans="2:7" x14ac:dyDescent="0.25">
      <c r="B691" t="s">
        <v>149</v>
      </c>
      <c r="D691" t="s">
        <v>696</v>
      </c>
      <c r="E691" t="s">
        <v>149</v>
      </c>
      <c r="G691">
        <v>0</v>
      </c>
    </row>
    <row r="692" spans="2:7" x14ac:dyDescent="0.25">
      <c r="B692" t="s">
        <v>149</v>
      </c>
      <c r="D692" t="s">
        <v>696</v>
      </c>
      <c r="E692" t="s">
        <v>149</v>
      </c>
      <c r="G692">
        <v>0</v>
      </c>
    </row>
    <row r="693" spans="2:7" x14ac:dyDescent="0.25">
      <c r="B693" t="s">
        <v>149</v>
      </c>
      <c r="D693" t="s">
        <v>696</v>
      </c>
      <c r="E693" t="s">
        <v>149</v>
      </c>
      <c r="G693">
        <v>0</v>
      </c>
    </row>
    <row r="694" spans="2:7" x14ac:dyDescent="0.25">
      <c r="B694" t="s">
        <v>149</v>
      </c>
      <c r="D694" t="s">
        <v>696</v>
      </c>
      <c r="E694" t="s">
        <v>149</v>
      </c>
      <c r="G694">
        <v>0</v>
      </c>
    </row>
    <row r="695" spans="2:7" x14ac:dyDescent="0.25">
      <c r="B695" t="s">
        <v>149</v>
      </c>
      <c r="D695" t="s">
        <v>696</v>
      </c>
      <c r="E695" t="s">
        <v>149</v>
      </c>
      <c r="G695">
        <v>0</v>
      </c>
    </row>
    <row r="696" spans="2:7" x14ac:dyDescent="0.25">
      <c r="B696" t="s">
        <v>149</v>
      </c>
      <c r="D696" t="s">
        <v>696</v>
      </c>
      <c r="E696" t="s">
        <v>149</v>
      </c>
      <c r="G696">
        <v>0</v>
      </c>
    </row>
    <row r="697" spans="2:7" x14ac:dyDescent="0.25">
      <c r="B697" t="s">
        <v>149</v>
      </c>
      <c r="D697" t="s">
        <v>696</v>
      </c>
      <c r="E697" t="s">
        <v>149</v>
      </c>
      <c r="G697">
        <v>0</v>
      </c>
    </row>
    <row r="698" spans="2:7" x14ac:dyDescent="0.25">
      <c r="B698" t="s">
        <v>149</v>
      </c>
      <c r="D698" t="s">
        <v>696</v>
      </c>
      <c r="E698" t="s">
        <v>149</v>
      </c>
      <c r="G698">
        <v>0</v>
      </c>
    </row>
    <row r="699" spans="2:7" x14ac:dyDescent="0.25">
      <c r="B699" t="s">
        <v>149</v>
      </c>
      <c r="D699" t="s">
        <v>696</v>
      </c>
      <c r="E699" t="s">
        <v>149</v>
      </c>
      <c r="G699">
        <v>0</v>
      </c>
    </row>
    <row r="700" spans="2:7" x14ac:dyDescent="0.25">
      <c r="B700" t="s">
        <v>149</v>
      </c>
      <c r="D700" t="s">
        <v>696</v>
      </c>
      <c r="E700" t="s">
        <v>149</v>
      </c>
      <c r="G700">
        <v>0</v>
      </c>
    </row>
    <row r="701" spans="2:7" x14ac:dyDescent="0.25">
      <c r="B701" t="s">
        <v>149</v>
      </c>
      <c r="D701" t="s">
        <v>696</v>
      </c>
      <c r="E701" t="s">
        <v>149</v>
      </c>
      <c r="G701">
        <v>0</v>
      </c>
    </row>
    <row r="702" spans="2:7" x14ac:dyDescent="0.25">
      <c r="B702" t="s">
        <v>149</v>
      </c>
      <c r="D702" t="s">
        <v>696</v>
      </c>
      <c r="E702" t="s">
        <v>149</v>
      </c>
      <c r="G702">
        <v>0</v>
      </c>
    </row>
    <row r="703" spans="2:7" x14ac:dyDescent="0.25">
      <c r="B703" t="s">
        <v>149</v>
      </c>
      <c r="D703" t="s">
        <v>696</v>
      </c>
      <c r="E703" t="s">
        <v>149</v>
      </c>
      <c r="G703">
        <v>0</v>
      </c>
    </row>
    <row r="704" spans="2:7" x14ac:dyDescent="0.25">
      <c r="B704" t="s">
        <v>149</v>
      </c>
      <c r="D704" t="s">
        <v>696</v>
      </c>
      <c r="E704" t="s">
        <v>149</v>
      </c>
      <c r="G704">
        <v>0</v>
      </c>
    </row>
    <row r="705" spans="2:7" x14ac:dyDescent="0.25">
      <c r="B705" t="s">
        <v>149</v>
      </c>
      <c r="D705" t="s">
        <v>696</v>
      </c>
      <c r="E705" t="s">
        <v>149</v>
      </c>
      <c r="G705">
        <v>0</v>
      </c>
    </row>
    <row r="706" spans="2:7" x14ac:dyDescent="0.25">
      <c r="B706" t="s">
        <v>149</v>
      </c>
      <c r="D706" t="s">
        <v>696</v>
      </c>
      <c r="E706" t="s">
        <v>149</v>
      </c>
      <c r="G706">
        <v>0</v>
      </c>
    </row>
    <row r="707" spans="2:7" x14ac:dyDescent="0.25">
      <c r="B707" t="s">
        <v>149</v>
      </c>
      <c r="D707" t="s">
        <v>696</v>
      </c>
      <c r="E707" t="s">
        <v>149</v>
      </c>
      <c r="G707">
        <v>0</v>
      </c>
    </row>
    <row r="708" spans="2:7" x14ac:dyDescent="0.25">
      <c r="B708" t="s">
        <v>149</v>
      </c>
      <c r="D708" t="s">
        <v>696</v>
      </c>
      <c r="E708" t="s">
        <v>149</v>
      </c>
      <c r="G708">
        <v>0</v>
      </c>
    </row>
    <row r="709" spans="2:7" x14ac:dyDescent="0.25">
      <c r="B709" t="s">
        <v>149</v>
      </c>
      <c r="D709" t="s">
        <v>696</v>
      </c>
      <c r="E709" t="s">
        <v>149</v>
      </c>
      <c r="G709">
        <v>0</v>
      </c>
    </row>
    <row r="710" spans="2:7" x14ac:dyDescent="0.25">
      <c r="B710" t="s">
        <v>149</v>
      </c>
      <c r="D710" t="s">
        <v>696</v>
      </c>
      <c r="E710" t="s">
        <v>149</v>
      </c>
      <c r="G710">
        <v>0</v>
      </c>
    </row>
    <row r="711" spans="2:7" x14ac:dyDescent="0.25">
      <c r="B711" t="s">
        <v>149</v>
      </c>
      <c r="D711" t="s">
        <v>696</v>
      </c>
      <c r="E711" t="s">
        <v>149</v>
      </c>
      <c r="G711">
        <v>0</v>
      </c>
    </row>
    <row r="712" spans="2:7" x14ac:dyDescent="0.25">
      <c r="B712" t="s">
        <v>149</v>
      </c>
      <c r="D712" t="s">
        <v>696</v>
      </c>
      <c r="E712" t="s">
        <v>149</v>
      </c>
      <c r="G712">
        <v>0</v>
      </c>
    </row>
    <row r="713" spans="2:7" x14ac:dyDescent="0.25">
      <c r="B713" t="s">
        <v>149</v>
      </c>
      <c r="D713" t="s">
        <v>696</v>
      </c>
      <c r="E713" t="s">
        <v>149</v>
      </c>
      <c r="G713">
        <v>0</v>
      </c>
    </row>
    <row r="714" spans="2:7" x14ac:dyDescent="0.25">
      <c r="B714" t="s">
        <v>149</v>
      </c>
      <c r="D714" t="s">
        <v>696</v>
      </c>
      <c r="E714" t="s">
        <v>149</v>
      </c>
      <c r="G714">
        <v>0</v>
      </c>
    </row>
    <row r="715" spans="2:7" x14ac:dyDescent="0.25">
      <c r="B715" t="s">
        <v>149</v>
      </c>
      <c r="D715" t="s">
        <v>696</v>
      </c>
      <c r="E715" t="s">
        <v>149</v>
      </c>
      <c r="G715">
        <v>0</v>
      </c>
    </row>
    <row r="716" spans="2:7" x14ac:dyDescent="0.25">
      <c r="B716" t="s">
        <v>149</v>
      </c>
      <c r="D716" t="s">
        <v>696</v>
      </c>
      <c r="E716" t="s">
        <v>149</v>
      </c>
      <c r="G716">
        <v>0</v>
      </c>
    </row>
    <row r="717" spans="2:7" x14ac:dyDescent="0.25">
      <c r="B717" t="s">
        <v>149</v>
      </c>
      <c r="D717" t="s">
        <v>696</v>
      </c>
      <c r="E717" t="s">
        <v>149</v>
      </c>
      <c r="G717">
        <v>0</v>
      </c>
    </row>
    <row r="718" spans="2:7" x14ac:dyDescent="0.25">
      <c r="B718" t="s">
        <v>149</v>
      </c>
      <c r="D718" t="s">
        <v>696</v>
      </c>
      <c r="E718" t="s">
        <v>149</v>
      </c>
      <c r="G718">
        <v>0</v>
      </c>
    </row>
    <row r="719" spans="2:7" x14ac:dyDescent="0.25">
      <c r="B719" t="s">
        <v>149</v>
      </c>
      <c r="D719" t="s">
        <v>696</v>
      </c>
      <c r="E719" t="s">
        <v>149</v>
      </c>
      <c r="G719">
        <v>0</v>
      </c>
    </row>
    <row r="720" spans="2:7" x14ac:dyDescent="0.25">
      <c r="B720" t="s">
        <v>149</v>
      </c>
      <c r="D720" t="s">
        <v>696</v>
      </c>
      <c r="E720" t="s">
        <v>149</v>
      </c>
      <c r="G720">
        <v>0</v>
      </c>
    </row>
    <row r="721" spans="2:7" x14ac:dyDescent="0.25">
      <c r="B721" t="s">
        <v>149</v>
      </c>
      <c r="D721" t="s">
        <v>696</v>
      </c>
      <c r="E721" t="s">
        <v>149</v>
      </c>
      <c r="G721">
        <v>0</v>
      </c>
    </row>
    <row r="722" spans="2:7" x14ac:dyDescent="0.25">
      <c r="B722" t="s">
        <v>149</v>
      </c>
      <c r="D722" t="s">
        <v>696</v>
      </c>
      <c r="E722" t="s">
        <v>149</v>
      </c>
      <c r="G722">
        <v>0</v>
      </c>
    </row>
    <row r="723" spans="2:7" x14ac:dyDescent="0.25">
      <c r="B723" t="s">
        <v>149</v>
      </c>
      <c r="D723" t="s">
        <v>696</v>
      </c>
      <c r="E723" t="s">
        <v>149</v>
      </c>
      <c r="G723">
        <v>0</v>
      </c>
    </row>
    <row r="724" spans="2:7" x14ac:dyDescent="0.25">
      <c r="B724" t="s">
        <v>149</v>
      </c>
      <c r="D724" t="s">
        <v>696</v>
      </c>
      <c r="E724" t="s">
        <v>149</v>
      </c>
      <c r="G724">
        <v>0</v>
      </c>
    </row>
    <row r="725" spans="2:7" x14ac:dyDescent="0.25">
      <c r="B725" t="s">
        <v>149</v>
      </c>
      <c r="D725" t="s">
        <v>696</v>
      </c>
      <c r="E725" t="s">
        <v>149</v>
      </c>
      <c r="G725">
        <v>0</v>
      </c>
    </row>
    <row r="726" spans="2:7" x14ac:dyDescent="0.25">
      <c r="B726" t="s">
        <v>149</v>
      </c>
      <c r="D726" t="s">
        <v>696</v>
      </c>
      <c r="E726" t="s">
        <v>149</v>
      </c>
      <c r="G726">
        <v>0</v>
      </c>
    </row>
    <row r="727" spans="2:7" x14ac:dyDescent="0.25">
      <c r="B727" t="s">
        <v>149</v>
      </c>
      <c r="D727" t="s">
        <v>696</v>
      </c>
      <c r="E727" t="s">
        <v>149</v>
      </c>
      <c r="G727">
        <v>0</v>
      </c>
    </row>
    <row r="728" spans="2:7" x14ac:dyDescent="0.25">
      <c r="B728" t="s">
        <v>149</v>
      </c>
      <c r="D728" t="s">
        <v>696</v>
      </c>
      <c r="E728" t="s">
        <v>149</v>
      </c>
      <c r="G728">
        <v>0</v>
      </c>
    </row>
    <row r="729" spans="2:7" x14ac:dyDescent="0.25">
      <c r="B729" t="s">
        <v>149</v>
      </c>
      <c r="D729" t="s">
        <v>696</v>
      </c>
      <c r="E729" t="s">
        <v>149</v>
      </c>
      <c r="G729">
        <v>0</v>
      </c>
    </row>
    <row r="730" spans="2:7" x14ac:dyDescent="0.25">
      <c r="B730" t="s">
        <v>149</v>
      </c>
      <c r="D730" t="s">
        <v>696</v>
      </c>
      <c r="E730" t="s">
        <v>149</v>
      </c>
      <c r="G730">
        <v>0</v>
      </c>
    </row>
    <row r="731" spans="2:7" x14ac:dyDescent="0.25">
      <c r="B731" t="s">
        <v>149</v>
      </c>
      <c r="D731" t="s">
        <v>696</v>
      </c>
      <c r="E731" t="s">
        <v>149</v>
      </c>
      <c r="G731">
        <v>0</v>
      </c>
    </row>
    <row r="732" spans="2:7" x14ac:dyDescent="0.25">
      <c r="B732" t="s">
        <v>149</v>
      </c>
      <c r="D732" t="s">
        <v>696</v>
      </c>
      <c r="E732" t="s">
        <v>149</v>
      </c>
      <c r="G732">
        <v>0</v>
      </c>
    </row>
    <row r="733" spans="2:7" x14ac:dyDescent="0.25">
      <c r="B733" t="s">
        <v>149</v>
      </c>
      <c r="D733" t="s">
        <v>696</v>
      </c>
      <c r="E733" t="s">
        <v>149</v>
      </c>
      <c r="G733">
        <v>0</v>
      </c>
    </row>
    <row r="734" spans="2:7" x14ac:dyDescent="0.25">
      <c r="B734" t="s">
        <v>149</v>
      </c>
      <c r="D734" t="s">
        <v>696</v>
      </c>
      <c r="E734" t="s">
        <v>149</v>
      </c>
      <c r="G734">
        <v>0</v>
      </c>
    </row>
    <row r="735" spans="2:7" x14ac:dyDescent="0.25">
      <c r="B735" t="s">
        <v>149</v>
      </c>
      <c r="D735" t="s">
        <v>696</v>
      </c>
      <c r="E735" t="s">
        <v>149</v>
      </c>
      <c r="G735">
        <v>0</v>
      </c>
    </row>
    <row r="736" spans="2:7" x14ac:dyDescent="0.25">
      <c r="B736" t="s">
        <v>149</v>
      </c>
      <c r="D736" t="s">
        <v>696</v>
      </c>
      <c r="E736" t="s">
        <v>149</v>
      </c>
      <c r="G736">
        <v>0</v>
      </c>
    </row>
    <row r="737" spans="2:7" x14ac:dyDescent="0.25">
      <c r="B737" t="s">
        <v>149</v>
      </c>
      <c r="D737" t="s">
        <v>696</v>
      </c>
      <c r="E737" t="s">
        <v>149</v>
      </c>
      <c r="G737">
        <v>0</v>
      </c>
    </row>
    <row r="738" spans="2:7" x14ac:dyDescent="0.25">
      <c r="B738" t="s">
        <v>149</v>
      </c>
      <c r="D738" t="s">
        <v>696</v>
      </c>
      <c r="E738" t="s">
        <v>149</v>
      </c>
      <c r="G738">
        <v>0</v>
      </c>
    </row>
    <row r="739" spans="2:7" x14ac:dyDescent="0.25">
      <c r="B739" t="s">
        <v>149</v>
      </c>
      <c r="D739" t="s">
        <v>696</v>
      </c>
      <c r="E739" t="s">
        <v>149</v>
      </c>
      <c r="G739">
        <v>0</v>
      </c>
    </row>
    <row r="740" spans="2:7" x14ac:dyDescent="0.25">
      <c r="B740" t="s">
        <v>149</v>
      </c>
      <c r="D740" t="s">
        <v>696</v>
      </c>
      <c r="E740" t="s">
        <v>149</v>
      </c>
      <c r="G740">
        <v>0</v>
      </c>
    </row>
    <row r="741" spans="2:7" x14ac:dyDescent="0.25">
      <c r="B741" t="s">
        <v>149</v>
      </c>
      <c r="D741" t="s">
        <v>696</v>
      </c>
      <c r="E741" t="s">
        <v>149</v>
      </c>
      <c r="G741">
        <v>0</v>
      </c>
    </row>
    <row r="742" spans="2:7" x14ac:dyDescent="0.25">
      <c r="B742" t="s">
        <v>149</v>
      </c>
      <c r="D742" t="s">
        <v>696</v>
      </c>
      <c r="E742" t="s">
        <v>149</v>
      </c>
      <c r="G742">
        <v>0</v>
      </c>
    </row>
    <row r="743" spans="2:7" x14ac:dyDescent="0.25">
      <c r="B743" t="s">
        <v>149</v>
      </c>
      <c r="D743" t="s">
        <v>696</v>
      </c>
      <c r="E743" t="s">
        <v>149</v>
      </c>
      <c r="G743">
        <v>0</v>
      </c>
    </row>
    <row r="744" spans="2:7" x14ac:dyDescent="0.25">
      <c r="B744" t="s">
        <v>149</v>
      </c>
      <c r="D744" t="s">
        <v>696</v>
      </c>
      <c r="E744" t="s">
        <v>149</v>
      </c>
      <c r="G744">
        <v>0</v>
      </c>
    </row>
    <row r="745" spans="2:7" x14ac:dyDescent="0.25">
      <c r="B745" t="s">
        <v>149</v>
      </c>
      <c r="D745" t="s">
        <v>696</v>
      </c>
      <c r="E745" t="s">
        <v>149</v>
      </c>
      <c r="G745">
        <v>0</v>
      </c>
    </row>
    <row r="746" spans="2:7" x14ac:dyDescent="0.25">
      <c r="B746" t="s">
        <v>149</v>
      </c>
      <c r="D746" t="s">
        <v>696</v>
      </c>
      <c r="E746" t="s">
        <v>149</v>
      </c>
      <c r="G746">
        <v>0</v>
      </c>
    </row>
    <row r="747" spans="2:7" x14ac:dyDescent="0.25">
      <c r="B747" t="s">
        <v>149</v>
      </c>
      <c r="D747" t="s">
        <v>696</v>
      </c>
      <c r="E747" t="s">
        <v>149</v>
      </c>
      <c r="G747">
        <v>0</v>
      </c>
    </row>
    <row r="748" spans="2:7" x14ac:dyDescent="0.25">
      <c r="B748" t="s">
        <v>149</v>
      </c>
      <c r="D748" t="s">
        <v>696</v>
      </c>
      <c r="E748" t="s">
        <v>149</v>
      </c>
      <c r="G748">
        <v>0</v>
      </c>
    </row>
    <row r="749" spans="2:7" x14ac:dyDescent="0.25">
      <c r="B749" t="s">
        <v>149</v>
      </c>
      <c r="D749" t="s">
        <v>696</v>
      </c>
      <c r="E749" t="s">
        <v>149</v>
      </c>
      <c r="G749">
        <v>0</v>
      </c>
    </row>
    <row r="750" spans="2:7" x14ac:dyDescent="0.25">
      <c r="B750" t="s">
        <v>149</v>
      </c>
      <c r="D750" t="s">
        <v>696</v>
      </c>
      <c r="E750" t="s">
        <v>149</v>
      </c>
      <c r="G750">
        <v>0</v>
      </c>
    </row>
    <row r="751" spans="2:7" x14ac:dyDescent="0.25">
      <c r="B751" t="s">
        <v>149</v>
      </c>
      <c r="D751" t="s">
        <v>696</v>
      </c>
      <c r="E751" t="s">
        <v>149</v>
      </c>
      <c r="G751">
        <v>0</v>
      </c>
    </row>
    <row r="752" spans="2:7" x14ac:dyDescent="0.25">
      <c r="B752" t="s">
        <v>149</v>
      </c>
      <c r="D752" t="s">
        <v>696</v>
      </c>
      <c r="E752" t="s">
        <v>149</v>
      </c>
      <c r="G752">
        <v>0</v>
      </c>
    </row>
    <row r="753" spans="2:7" x14ac:dyDescent="0.25">
      <c r="B753" t="s">
        <v>149</v>
      </c>
      <c r="D753" t="s">
        <v>696</v>
      </c>
      <c r="E753" t="s">
        <v>149</v>
      </c>
      <c r="G753">
        <v>0</v>
      </c>
    </row>
    <row r="754" spans="2:7" x14ac:dyDescent="0.25">
      <c r="B754" t="s">
        <v>149</v>
      </c>
      <c r="D754" t="s">
        <v>696</v>
      </c>
      <c r="E754" t="s">
        <v>149</v>
      </c>
      <c r="G754">
        <v>0</v>
      </c>
    </row>
    <row r="755" spans="2:7" x14ac:dyDescent="0.25">
      <c r="B755" t="s">
        <v>149</v>
      </c>
      <c r="D755" t="s">
        <v>696</v>
      </c>
      <c r="E755" t="s">
        <v>149</v>
      </c>
      <c r="G755">
        <v>0</v>
      </c>
    </row>
    <row r="756" spans="2:7" x14ac:dyDescent="0.25">
      <c r="B756" t="s">
        <v>149</v>
      </c>
      <c r="D756" t="s">
        <v>696</v>
      </c>
      <c r="E756" t="s">
        <v>149</v>
      </c>
      <c r="G756">
        <v>0</v>
      </c>
    </row>
    <row r="757" spans="2:7" x14ac:dyDescent="0.25">
      <c r="B757" t="s">
        <v>149</v>
      </c>
      <c r="D757" t="s">
        <v>696</v>
      </c>
      <c r="E757" t="s">
        <v>149</v>
      </c>
      <c r="G757">
        <v>0</v>
      </c>
    </row>
    <row r="758" spans="2:7" x14ac:dyDescent="0.25">
      <c r="B758" t="s">
        <v>149</v>
      </c>
      <c r="D758" t="s">
        <v>696</v>
      </c>
      <c r="E758" t="s">
        <v>149</v>
      </c>
      <c r="G758">
        <v>0</v>
      </c>
    </row>
    <row r="759" spans="2:7" x14ac:dyDescent="0.25">
      <c r="B759" t="s">
        <v>149</v>
      </c>
      <c r="D759" t="s">
        <v>696</v>
      </c>
      <c r="E759" t="s">
        <v>149</v>
      </c>
      <c r="G759">
        <v>0</v>
      </c>
    </row>
    <row r="760" spans="2:7" x14ac:dyDescent="0.25">
      <c r="B760" t="s">
        <v>149</v>
      </c>
      <c r="D760" t="s">
        <v>696</v>
      </c>
      <c r="E760" t="s">
        <v>149</v>
      </c>
      <c r="G760">
        <v>0</v>
      </c>
    </row>
    <row r="761" spans="2:7" x14ac:dyDescent="0.25">
      <c r="B761" t="s">
        <v>149</v>
      </c>
      <c r="D761" t="s">
        <v>696</v>
      </c>
      <c r="E761" t="s">
        <v>149</v>
      </c>
      <c r="G761">
        <v>0</v>
      </c>
    </row>
    <row r="762" spans="2:7" x14ac:dyDescent="0.25">
      <c r="B762" t="s">
        <v>149</v>
      </c>
      <c r="D762" t="s">
        <v>696</v>
      </c>
      <c r="E762" t="s">
        <v>149</v>
      </c>
      <c r="G762">
        <v>0</v>
      </c>
    </row>
    <row r="763" spans="2:7" x14ac:dyDescent="0.25">
      <c r="B763" t="s">
        <v>149</v>
      </c>
      <c r="D763" t="s">
        <v>696</v>
      </c>
      <c r="E763" t="s">
        <v>149</v>
      </c>
      <c r="G763">
        <v>0</v>
      </c>
    </row>
    <row r="764" spans="2:7" x14ac:dyDescent="0.25">
      <c r="B764" t="s">
        <v>149</v>
      </c>
      <c r="D764" t="s">
        <v>696</v>
      </c>
      <c r="E764" t="s">
        <v>149</v>
      </c>
      <c r="G764">
        <v>0</v>
      </c>
    </row>
    <row r="765" spans="2:7" x14ac:dyDescent="0.25">
      <c r="B765" t="s">
        <v>149</v>
      </c>
      <c r="D765" t="s">
        <v>696</v>
      </c>
      <c r="E765" t="s">
        <v>149</v>
      </c>
      <c r="G765">
        <v>0</v>
      </c>
    </row>
    <row r="766" spans="2:7" x14ac:dyDescent="0.25">
      <c r="B766" t="s">
        <v>149</v>
      </c>
      <c r="D766" t="s">
        <v>696</v>
      </c>
      <c r="E766" t="s">
        <v>149</v>
      </c>
      <c r="G766">
        <v>0</v>
      </c>
    </row>
    <row r="767" spans="2:7" x14ac:dyDescent="0.25">
      <c r="B767" t="s">
        <v>149</v>
      </c>
      <c r="D767" t="s">
        <v>696</v>
      </c>
      <c r="E767" t="s">
        <v>149</v>
      </c>
      <c r="G767">
        <v>0</v>
      </c>
    </row>
    <row r="768" spans="2:7" x14ac:dyDescent="0.25">
      <c r="B768" t="s">
        <v>149</v>
      </c>
      <c r="D768" t="s">
        <v>696</v>
      </c>
      <c r="E768" t="s">
        <v>149</v>
      </c>
      <c r="G768">
        <v>0</v>
      </c>
    </row>
    <row r="769" spans="2:7" x14ac:dyDescent="0.25">
      <c r="B769" t="s">
        <v>149</v>
      </c>
      <c r="D769" t="s">
        <v>696</v>
      </c>
      <c r="E769" t="s">
        <v>149</v>
      </c>
      <c r="G769">
        <v>0</v>
      </c>
    </row>
    <row r="770" spans="2:7" x14ac:dyDescent="0.25">
      <c r="B770" t="s">
        <v>149</v>
      </c>
      <c r="D770" t="s">
        <v>696</v>
      </c>
      <c r="E770" t="s">
        <v>149</v>
      </c>
      <c r="G770">
        <v>0</v>
      </c>
    </row>
    <row r="771" spans="2:7" x14ac:dyDescent="0.25">
      <c r="B771" t="s">
        <v>149</v>
      </c>
      <c r="D771" t="s">
        <v>696</v>
      </c>
      <c r="E771" t="s">
        <v>149</v>
      </c>
      <c r="G771">
        <v>0</v>
      </c>
    </row>
    <row r="772" spans="2:7" x14ac:dyDescent="0.25">
      <c r="B772" t="s">
        <v>149</v>
      </c>
      <c r="D772" t="s">
        <v>696</v>
      </c>
      <c r="E772" t="s">
        <v>149</v>
      </c>
      <c r="G772">
        <v>0</v>
      </c>
    </row>
    <row r="773" spans="2:7" x14ac:dyDescent="0.25">
      <c r="B773" t="s">
        <v>149</v>
      </c>
      <c r="D773" t="s">
        <v>696</v>
      </c>
      <c r="E773" t="s">
        <v>149</v>
      </c>
      <c r="G773">
        <v>0</v>
      </c>
    </row>
    <row r="774" spans="2:7" x14ac:dyDescent="0.25">
      <c r="B774" t="s">
        <v>149</v>
      </c>
      <c r="D774" t="s">
        <v>696</v>
      </c>
      <c r="E774" t="s">
        <v>149</v>
      </c>
      <c r="G774">
        <v>0</v>
      </c>
    </row>
    <row r="775" spans="2:7" x14ac:dyDescent="0.25">
      <c r="B775" t="s">
        <v>149</v>
      </c>
      <c r="D775" t="s">
        <v>696</v>
      </c>
      <c r="E775" t="s">
        <v>149</v>
      </c>
      <c r="G775">
        <v>0</v>
      </c>
    </row>
    <row r="776" spans="2:7" x14ac:dyDescent="0.25">
      <c r="B776" t="s">
        <v>149</v>
      </c>
      <c r="D776" t="s">
        <v>696</v>
      </c>
      <c r="E776" t="s">
        <v>149</v>
      </c>
      <c r="G776">
        <v>0</v>
      </c>
    </row>
    <row r="777" spans="2:7" x14ac:dyDescent="0.25">
      <c r="B777" t="s">
        <v>149</v>
      </c>
      <c r="D777" t="s">
        <v>696</v>
      </c>
      <c r="E777" t="s">
        <v>149</v>
      </c>
      <c r="G777">
        <v>0</v>
      </c>
    </row>
    <row r="778" spans="2:7" x14ac:dyDescent="0.25">
      <c r="B778" t="s">
        <v>149</v>
      </c>
      <c r="D778" t="s">
        <v>696</v>
      </c>
      <c r="E778" t="s">
        <v>149</v>
      </c>
      <c r="G778">
        <v>0</v>
      </c>
    </row>
    <row r="779" spans="2:7" x14ac:dyDescent="0.25">
      <c r="B779" t="s">
        <v>149</v>
      </c>
      <c r="D779" t="s">
        <v>696</v>
      </c>
      <c r="E779" t="s">
        <v>149</v>
      </c>
      <c r="G779">
        <v>0</v>
      </c>
    </row>
    <row r="780" spans="2:7" x14ac:dyDescent="0.25">
      <c r="B780" t="s">
        <v>149</v>
      </c>
      <c r="D780" t="s">
        <v>696</v>
      </c>
      <c r="E780" t="s">
        <v>149</v>
      </c>
      <c r="G780">
        <v>0</v>
      </c>
    </row>
    <row r="781" spans="2:7" x14ac:dyDescent="0.25">
      <c r="B781" t="s">
        <v>149</v>
      </c>
      <c r="D781" t="s">
        <v>696</v>
      </c>
      <c r="E781" t="s">
        <v>149</v>
      </c>
      <c r="G781">
        <v>0</v>
      </c>
    </row>
    <row r="782" spans="2:7" x14ac:dyDescent="0.25">
      <c r="B782" t="s">
        <v>149</v>
      </c>
      <c r="D782" t="s">
        <v>696</v>
      </c>
      <c r="E782" t="s">
        <v>149</v>
      </c>
      <c r="G782">
        <v>0</v>
      </c>
    </row>
    <row r="783" spans="2:7" x14ac:dyDescent="0.25">
      <c r="B783" t="s">
        <v>149</v>
      </c>
      <c r="D783" t="s">
        <v>696</v>
      </c>
      <c r="E783" t="s">
        <v>149</v>
      </c>
      <c r="G783">
        <v>0</v>
      </c>
    </row>
    <row r="784" spans="2:7" x14ac:dyDescent="0.25">
      <c r="B784" t="s">
        <v>149</v>
      </c>
      <c r="D784" t="s">
        <v>696</v>
      </c>
      <c r="E784" t="s">
        <v>149</v>
      </c>
      <c r="G784">
        <v>0</v>
      </c>
    </row>
    <row r="785" spans="2:7" x14ac:dyDescent="0.25">
      <c r="B785" t="s">
        <v>149</v>
      </c>
      <c r="D785" t="s">
        <v>696</v>
      </c>
      <c r="E785" t="s">
        <v>149</v>
      </c>
      <c r="G785">
        <v>0</v>
      </c>
    </row>
    <row r="786" spans="2:7" x14ac:dyDescent="0.25">
      <c r="B786" t="s">
        <v>149</v>
      </c>
      <c r="D786" t="s">
        <v>696</v>
      </c>
      <c r="E786" t="s">
        <v>149</v>
      </c>
      <c r="G786">
        <v>0</v>
      </c>
    </row>
    <row r="787" spans="2:7" x14ac:dyDescent="0.25">
      <c r="B787" t="s">
        <v>149</v>
      </c>
      <c r="D787" t="s">
        <v>696</v>
      </c>
      <c r="E787" t="s">
        <v>149</v>
      </c>
      <c r="G787">
        <v>0</v>
      </c>
    </row>
    <row r="788" spans="2:7" x14ac:dyDescent="0.25">
      <c r="B788" t="s">
        <v>149</v>
      </c>
      <c r="D788" t="s">
        <v>696</v>
      </c>
      <c r="E788" t="s">
        <v>149</v>
      </c>
      <c r="G788">
        <v>0</v>
      </c>
    </row>
    <row r="789" spans="2:7" x14ac:dyDescent="0.25">
      <c r="B789" t="s">
        <v>149</v>
      </c>
      <c r="D789" t="s">
        <v>696</v>
      </c>
      <c r="E789" t="s">
        <v>149</v>
      </c>
      <c r="G789">
        <v>0</v>
      </c>
    </row>
    <row r="790" spans="2:7" x14ac:dyDescent="0.25">
      <c r="B790" t="s">
        <v>149</v>
      </c>
      <c r="D790" t="s">
        <v>696</v>
      </c>
      <c r="E790" t="s">
        <v>149</v>
      </c>
      <c r="G790">
        <v>0</v>
      </c>
    </row>
    <row r="791" spans="2:7" x14ac:dyDescent="0.25">
      <c r="B791" t="s">
        <v>149</v>
      </c>
      <c r="D791" t="s">
        <v>696</v>
      </c>
      <c r="E791" t="s">
        <v>149</v>
      </c>
      <c r="G791">
        <v>0</v>
      </c>
    </row>
    <row r="792" spans="2:7" x14ac:dyDescent="0.25">
      <c r="B792" t="s">
        <v>149</v>
      </c>
      <c r="D792" t="s">
        <v>696</v>
      </c>
      <c r="E792" t="s">
        <v>149</v>
      </c>
      <c r="G792">
        <v>0</v>
      </c>
    </row>
    <row r="793" spans="2:7" x14ac:dyDescent="0.25">
      <c r="B793" t="s">
        <v>149</v>
      </c>
      <c r="D793" t="s">
        <v>696</v>
      </c>
      <c r="E793" t="s">
        <v>149</v>
      </c>
      <c r="G793">
        <v>0</v>
      </c>
    </row>
    <row r="794" spans="2:7" x14ac:dyDescent="0.25">
      <c r="B794" t="s">
        <v>149</v>
      </c>
      <c r="D794" t="s">
        <v>696</v>
      </c>
      <c r="E794" t="s">
        <v>149</v>
      </c>
      <c r="G794">
        <v>0</v>
      </c>
    </row>
    <row r="795" spans="2:7" x14ac:dyDescent="0.25">
      <c r="B795" t="s">
        <v>149</v>
      </c>
      <c r="D795" t="s">
        <v>696</v>
      </c>
      <c r="E795" t="s">
        <v>149</v>
      </c>
      <c r="G795">
        <v>0</v>
      </c>
    </row>
    <row r="796" spans="2:7" x14ac:dyDescent="0.25">
      <c r="B796" t="s">
        <v>149</v>
      </c>
      <c r="D796" t="s">
        <v>696</v>
      </c>
      <c r="E796" t="s">
        <v>149</v>
      </c>
      <c r="G796">
        <v>0</v>
      </c>
    </row>
    <row r="797" spans="2:7" x14ac:dyDescent="0.25">
      <c r="B797" t="s">
        <v>149</v>
      </c>
      <c r="D797" t="s">
        <v>696</v>
      </c>
      <c r="E797" t="s">
        <v>149</v>
      </c>
      <c r="G797">
        <v>0</v>
      </c>
    </row>
    <row r="798" spans="2:7" x14ac:dyDescent="0.25">
      <c r="B798" t="s">
        <v>149</v>
      </c>
      <c r="D798" t="s">
        <v>696</v>
      </c>
      <c r="E798" t="s">
        <v>149</v>
      </c>
      <c r="G798">
        <v>0</v>
      </c>
    </row>
    <row r="799" spans="2:7" x14ac:dyDescent="0.25">
      <c r="B799" t="s">
        <v>149</v>
      </c>
      <c r="D799" t="s">
        <v>696</v>
      </c>
      <c r="E799" t="s">
        <v>149</v>
      </c>
      <c r="G799">
        <v>0</v>
      </c>
    </row>
    <row r="800" spans="2:7" x14ac:dyDescent="0.25">
      <c r="B800" t="s">
        <v>149</v>
      </c>
      <c r="D800" t="s">
        <v>696</v>
      </c>
      <c r="E800" t="s">
        <v>149</v>
      </c>
      <c r="G800">
        <v>0</v>
      </c>
    </row>
    <row r="801" spans="2:7" x14ac:dyDescent="0.25">
      <c r="B801" t="s">
        <v>149</v>
      </c>
      <c r="D801" t="s">
        <v>696</v>
      </c>
      <c r="E801" t="s">
        <v>149</v>
      </c>
      <c r="G801">
        <v>0</v>
      </c>
    </row>
    <row r="802" spans="2:7" x14ac:dyDescent="0.25">
      <c r="B802" t="s">
        <v>149</v>
      </c>
      <c r="D802" t="s">
        <v>696</v>
      </c>
      <c r="E802" t="s">
        <v>149</v>
      </c>
      <c r="G802">
        <v>0</v>
      </c>
    </row>
    <row r="803" spans="2:7" x14ac:dyDescent="0.25">
      <c r="B803" t="s">
        <v>149</v>
      </c>
      <c r="D803" t="s">
        <v>696</v>
      </c>
      <c r="E803" t="s">
        <v>149</v>
      </c>
      <c r="G803">
        <v>0</v>
      </c>
    </row>
    <row r="804" spans="2:7" x14ac:dyDescent="0.25">
      <c r="B804" t="s">
        <v>149</v>
      </c>
      <c r="D804" t="s">
        <v>696</v>
      </c>
      <c r="E804" t="s">
        <v>149</v>
      </c>
      <c r="G804">
        <v>0</v>
      </c>
    </row>
    <row r="805" spans="2:7" x14ac:dyDescent="0.25">
      <c r="B805" t="s">
        <v>149</v>
      </c>
      <c r="D805" t="s">
        <v>696</v>
      </c>
      <c r="E805" t="s">
        <v>149</v>
      </c>
      <c r="G805">
        <v>0</v>
      </c>
    </row>
    <row r="806" spans="2:7" x14ac:dyDescent="0.25">
      <c r="B806" t="s">
        <v>149</v>
      </c>
      <c r="D806" t="s">
        <v>696</v>
      </c>
      <c r="E806" t="s">
        <v>149</v>
      </c>
      <c r="G806">
        <v>0</v>
      </c>
    </row>
    <row r="807" spans="2:7" x14ac:dyDescent="0.25">
      <c r="B807" t="s">
        <v>149</v>
      </c>
      <c r="D807" t="s">
        <v>696</v>
      </c>
      <c r="E807" t="s">
        <v>149</v>
      </c>
      <c r="G807">
        <v>0</v>
      </c>
    </row>
    <row r="808" spans="2:7" x14ac:dyDescent="0.25">
      <c r="B808" t="s">
        <v>149</v>
      </c>
      <c r="D808" t="s">
        <v>696</v>
      </c>
      <c r="E808" t="s">
        <v>149</v>
      </c>
      <c r="G808">
        <v>0</v>
      </c>
    </row>
    <row r="809" spans="2:7" x14ac:dyDescent="0.25">
      <c r="B809" t="s">
        <v>149</v>
      </c>
      <c r="D809" t="s">
        <v>696</v>
      </c>
      <c r="E809" t="s">
        <v>149</v>
      </c>
      <c r="G809">
        <v>0</v>
      </c>
    </row>
    <row r="810" spans="2:7" x14ac:dyDescent="0.25">
      <c r="B810" t="s">
        <v>149</v>
      </c>
      <c r="D810" t="s">
        <v>696</v>
      </c>
      <c r="E810" t="s">
        <v>149</v>
      </c>
      <c r="G810">
        <v>0</v>
      </c>
    </row>
    <row r="811" spans="2:7" x14ac:dyDescent="0.25">
      <c r="B811" t="s">
        <v>149</v>
      </c>
      <c r="D811" t="s">
        <v>696</v>
      </c>
      <c r="E811" t="s">
        <v>149</v>
      </c>
      <c r="G811">
        <v>0</v>
      </c>
    </row>
    <row r="812" spans="2:7" x14ac:dyDescent="0.25">
      <c r="B812" t="s">
        <v>149</v>
      </c>
      <c r="D812" t="s">
        <v>696</v>
      </c>
      <c r="E812" t="s">
        <v>149</v>
      </c>
      <c r="G812">
        <v>0</v>
      </c>
    </row>
    <row r="813" spans="2:7" x14ac:dyDescent="0.25">
      <c r="B813" t="s">
        <v>149</v>
      </c>
      <c r="D813" t="s">
        <v>696</v>
      </c>
      <c r="E813" t="s">
        <v>149</v>
      </c>
      <c r="G813">
        <v>0</v>
      </c>
    </row>
    <row r="814" spans="2:7" x14ac:dyDescent="0.25">
      <c r="B814" t="s">
        <v>149</v>
      </c>
      <c r="D814" t="s">
        <v>696</v>
      </c>
      <c r="E814" t="s">
        <v>149</v>
      </c>
      <c r="G814">
        <v>0</v>
      </c>
    </row>
    <row r="815" spans="2:7" x14ac:dyDescent="0.25">
      <c r="B815" t="s">
        <v>149</v>
      </c>
      <c r="D815" t="s">
        <v>696</v>
      </c>
      <c r="E815" t="s">
        <v>149</v>
      </c>
      <c r="G815">
        <v>0</v>
      </c>
    </row>
    <row r="816" spans="2:7" x14ac:dyDescent="0.25">
      <c r="B816" t="s">
        <v>149</v>
      </c>
      <c r="D816" t="s">
        <v>696</v>
      </c>
      <c r="E816" t="s">
        <v>149</v>
      </c>
      <c r="G816">
        <v>0</v>
      </c>
    </row>
    <row r="817" spans="2:7" x14ac:dyDescent="0.25">
      <c r="B817" t="s">
        <v>149</v>
      </c>
      <c r="D817" t="s">
        <v>696</v>
      </c>
      <c r="E817" t="s">
        <v>149</v>
      </c>
      <c r="G817">
        <v>0</v>
      </c>
    </row>
    <row r="818" spans="2:7" x14ac:dyDescent="0.25">
      <c r="B818" t="s">
        <v>149</v>
      </c>
      <c r="D818" t="s">
        <v>696</v>
      </c>
      <c r="E818" t="s">
        <v>149</v>
      </c>
      <c r="G818">
        <v>0</v>
      </c>
    </row>
    <row r="819" spans="2:7" x14ac:dyDescent="0.25">
      <c r="B819" t="s">
        <v>149</v>
      </c>
      <c r="D819" t="s">
        <v>696</v>
      </c>
      <c r="E819" t="s">
        <v>149</v>
      </c>
      <c r="G819">
        <v>0</v>
      </c>
    </row>
    <row r="820" spans="2:7" x14ac:dyDescent="0.25">
      <c r="B820" t="s">
        <v>149</v>
      </c>
      <c r="D820" t="s">
        <v>696</v>
      </c>
      <c r="E820" t="s">
        <v>149</v>
      </c>
      <c r="G820">
        <v>0</v>
      </c>
    </row>
    <row r="821" spans="2:7" x14ac:dyDescent="0.25">
      <c r="B821" t="s">
        <v>149</v>
      </c>
      <c r="D821" t="s">
        <v>696</v>
      </c>
      <c r="E821" t="s">
        <v>149</v>
      </c>
      <c r="G821">
        <v>0</v>
      </c>
    </row>
    <row r="822" spans="2:7" x14ac:dyDescent="0.25">
      <c r="B822" t="s">
        <v>149</v>
      </c>
      <c r="D822" t="s">
        <v>696</v>
      </c>
      <c r="E822" t="s">
        <v>149</v>
      </c>
      <c r="G822">
        <v>0</v>
      </c>
    </row>
    <row r="823" spans="2:7" x14ac:dyDescent="0.25">
      <c r="B823" t="s">
        <v>149</v>
      </c>
      <c r="D823" t="s">
        <v>696</v>
      </c>
      <c r="E823" t="s">
        <v>149</v>
      </c>
      <c r="G823">
        <v>0</v>
      </c>
    </row>
    <row r="824" spans="2:7" x14ac:dyDescent="0.25">
      <c r="B824" t="s">
        <v>149</v>
      </c>
      <c r="D824" t="s">
        <v>696</v>
      </c>
      <c r="E824" t="s">
        <v>149</v>
      </c>
      <c r="G824">
        <v>0</v>
      </c>
    </row>
    <row r="825" spans="2:7" x14ac:dyDescent="0.25">
      <c r="B825" t="s">
        <v>149</v>
      </c>
      <c r="D825" t="s">
        <v>696</v>
      </c>
      <c r="E825" t="s">
        <v>149</v>
      </c>
      <c r="G825">
        <v>0</v>
      </c>
    </row>
    <row r="826" spans="2:7" x14ac:dyDescent="0.25">
      <c r="B826" t="s">
        <v>149</v>
      </c>
      <c r="D826" t="s">
        <v>696</v>
      </c>
      <c r="E826" t="s">
        <v>149</v>
      </c>
      <c r="G826">
        <v>0</v>
      </c>
    </row>
    <row r="827" spans="2:7" x14ac:dyDescent="0.25">
      <c r="B827" t="s">
        <v>149</v>
      </c>
      <c r="D827" t="s">
        <v>696</v>
      </c>
      <c r="E827" t="s">
        <v>149</v>
      </c>
      <c r="G827">
        <v>0</v>
      </c>
    </row>
    <row r="828" spans="2:7" x14ac:dyDescent="0.25">
      <c r="B828" t="s">
        <v>149</v>
      </c>
      <c r="D828" t="s">
        <v>696</v>
      </c>
      <c r="E828" t="s">
        <v>149</v>
      </c>
      <c r="G828">
        <v>0</v>
      </c>
    </row>
    <row r="829" spans="2:7" x14ac:dyDescent="0.25">
      <c r="B829" t="s">
        <v>149</v>
      </c>
      <c r="D829" t="s">
        <v>696</v>
      </c>
      <c r="E829" t="s">
        <v>149</v>
      </c>
      <c r="G829">
        <v>0</v>
      </c>
    </row>
    <row r="830" spans="2:7" x14ac:dyDescent="0.25">
      <c r="B830" t="s">
        <v>149</v>
      </c>
      <c r="D830" t="s">
        <v>696</v>
      </c>
      <c r="E830" t="s">
        <v>149</v>
      </c>
      <c r="G830">
        <v>0</v>
      </c>
    </row>
    <row r="831" spans="2:7" x14ac:dyDescent="0.25">
      <c r="B831" t="s">
        <v>149</v>
      </c>
      <c r="D831" t="s">
        <v>696</v>
      </c>
      <c r="E831" t="s">
        <v>149</v>
      </c>
      <c r="G831">
        <v>0</v>
      </c>
    </row>
    <row r="832" spans="2:7" x14ac:dyDescent="0.25">
      <c r="B832" t="s">
        <v>149</v>
      </c>
      <c r="D832" t="s">
        <v>696</v>
      </c>
      <c r="E832" t="s">
        <v>149</v>
      </c>
      <c r="G832">
        <v>0</v>
      </c>
    </row>
    <row r="833" spans="2:7" x14ac:dyDescent="0.25">
      <c r="B833" t="s">
        <v>149</v>
      </c>
      <c r="D833" t="s">
        <v>696</v>
      </c>
      <c r="E833" t="s">
        <v>149</v>
      </c>
      <c r="G833">
        <v>0</v>
      </c>
    </row>
    <row r="834" spans="2:7" x14ac:dyDescent="0.25">
      <c r="B834" t="s">
        <v>149</v>
      </c>
      <c r="D834" t="s">
        <v>696</v>
      </c>
      <c r="E834" t="s">
        <v>149</v>
      </c>
      <c r="G834">
        <v>0</v>
      </c>
    </row>
    <row r="835" spans="2:7" x14ac:dyDescent="0.25">
      <c r="B835" t="s">
        <v>149</v>
      </c>
      <c r="D835" t="s">
        <v>696</v>
      </c>
      <c r="E835" t="s">
        <v>149</v>
      </c>
      <c r="G835">
        <v>0</v>
      </c>
    </row>
    <row r="836" spans="2:7" x14ac:dyDescent="0.25">
      <c r="B836" t="s">
        <v>149</v>
      </c>
      <c r="D836" t="s">
        <v>696</v>
      </c>
      <c r="E836" t="s">
        <v>149</v>
      </c>
      <c r="G836">
        <v>0</v>
      </c>
    </row>
    <row r="837" spans="2:7" x14ac:dyDescent="0.25">
      <c r="B837" t="s">
        <v>149</v>
      </c>
      <c r="D837" t="s">
        <v>696</v>
      </c>
      <c r="E837" t="s">
        <v>149</v>
      </c>
      <c r="G837">
        <v>0</v>
      </c>
    </row>
    <row r="838" spans="2:7" x14ac:dyDescent="0.25">
      <c r="B838" t="s">
        <v>149</v>
      </c>
      <c r="D838" t="s">
        <v>696</v>
      </c>
      <c r="E838" t="s">
        <v>149</v>
      </c>
      <c r="G838">
        <v>0</v>
      </c>
    </row>
    <row r="839" spans="2:7" x14ac:dyDescent="0.25">
      <c r="B839" t="s">
        <v>149</v>
      </c>
      <c r="D839" t="s">
        <v>696</v>
      </c>
      <c r="E839" t="s">
        <v>149</v>
      </c>
      <c r="G839">
        <v>0</v>
      </c>
    </row>
    <row r="840" spans="2:7" x14ac:dyDescent="0.25">
      <c r="B840" t="s">
        <v>149</v>
      </c>
      <c r="D840" t="s">
        <v>696</v>
      </c>
      <c r="E840" t="s">
        <v>149</v>
      </c>
      <c r="G840">
        <v>0</v>
      </c>
    </row>
    <row r="841" spans="2:7" x14ac:dyDescent="0.25">
      <c r="B841" t="s">
        <v>149</v>
      </c>
      <c r="D841" t="s">
        <v>696</v>
      </c>
      <c r="E841" t="s">
        <v>149</v>
      </c>
      <c r="G841">
        <v>0</v>
      </c>
    </row>
    <row r="842" spans="2:7" x14ac:dyDescent="0.25">
      <c r="B842" t="s">
        <v>149</v>
      </c>
      <c r="D842" t="s">
        <v>696</v>
      </c>
      <c r="E842" t="s">
        <v>149</v>
      </c>
      <c r="G842">
        <v>0</v>
      </c>
    </row>
    <row r="843" spans="2:7" x14ac:dyDescent="0.25">
      <c r="B843" t="s">
        <v>149</v>
      </c>
      <c r="D843" t="s">
        <v>696</v>
      </c>
      <c r="E843" t="s">
        <v>149</v>
      </c>
      <c r="G843">
        <v>0</v>
      </c>
    </row>
    <row r="844" spans="2:7" x14ac:dyDescent="0.25">
      <c r="B844" t="s">
        <v>149</v>
      </c>
      <c r="D844" t="s">
        <v>696</v>
      </c>
      <c r="E844" t="s">
        <v>149</v>
      </c>
      <c r="G844">
        <v>0</v>
      </c>
    </row>
    <row r="845" spans="2:7" x14ac:dyDescent="0.25">
      <c r="B845" t="s">
        <v>149</v>
      </c>
      <c r="D845" t="s">
        <v>696</v>
      </c>
      <c r="E845" t="s">
        <v>149</v>
      </c>
      <c r="G845">
        <v>0</v>
      </c>
    </row>
    <row r="846" spans="2:7" x14ac:dyDescent="0.25">
      <c r="B846" t="s">
        <v>149</v>
      </c>
      <c r="D846" t="s">
        <v>696</v>
      </c>
      <c r="E846" t="s">
        <v>149</v>
      </c>
      <c r="G846">
        <v>0</v>
      </c>
    </row>
    <row r="847" spans="2:7" x14ac:dyDescent="0.25">
      <c r="B847" t="s">
        <v>149</v>
      </c>
      <c r="D847" t="s">
        <v>696</v>
      </c>
      <c r="E847" t="s">
        <v>149</v>
      </c>
      <c r="G847">
        <v>0</v>
      </c>
    </row>
    <row r="848" spans="2:7" x14ac:dyDescent="0.25">
      <c r="B848" t="s">
        <v>149</v>
      </c>
      <c r="D848" t="s">
        <v>696</v>
      </c>
      <c r="E848" t="s">
        <v>149</v>
      </c>
      <c r="G848">
        <v>0</v>
      </c>
    </row>
    <row r="849" spans="2:7" x14ac:dyDescent="0.25">
      <c r="B849" t="s">
        <v>149</v>
      </c>
      <c r="D849" t="s">
        <v>696</v>
      </c>
      <c r="E849" t="s">
        <v>149</v>
      </c>
      <c r="G849">
        <v>0</v>
      </c>
    </row>
    <row r="850" spans="2:7" x14ac:dyDescent="0.25">
      <c r="B850" t="s">
        <v>149</v>
      </c>
      <c r="D850" t="s">
        <v>696</v>
      </c>
      <c r="E850" t="s">
        <v>149</v>
      </c>
      <c r="G850">
        <v>0</v>
      </c>
    </row>
    <row r="851" spans="2:7" x14ac:dyDescent="0.25">
      <c r="B851" t="s">
        <v>149</v>
      </c>
      <c r="D851" t="s">
        <v>696</v>
      </c>
      <c r="E851" t="s">
        <v>149</v>
      </c>
      <c r="G851">
        <v>0</v>
      </c>
    </row>
    <row r="852" spans="2:7" x14ac:dyDescent="0.25">
      <c r="B852" t="s">
        <v>149</v>
      </c>
      <c r="D852" t="s">
        <v>696</v>
      </c>
      <c r="E852" t="s">
        <v>149</v>
      </c>
      <c r="G852">
        <v>0</v>
      </c>
    </row>
    <row r="853" spans="2:7" x14ac:dyDescent="0.25">
      <c r="B853" t="s">
        <v>149</v>
      </c>
      <c r="D853" t="s">
        <v>696</v>
      </c>
      <c r="E853" t="s">
        <v>149</v>
      </c>
      <c r="G853">
        <v>0</v>
      </c>
    </row>
    <row r="854" spans="2:7" x14ac:dyDescent="0.25">
      <c r="B854" t="s">
        <v>149</v>
      </c>
      <c r="D854" t="s">
        <v>696</v>
      </c>
      <c r="E854" t="s">
        <v>149</v>
      </c>
      <c r="G854">
        <v>0</v>
      </c>
    </row>
    <row r="855" spans="2:7" x14ac:dyDescent="0.25">
      <c r="B855" t="s">
        <v>149</v>
      </c>
      <c r="D855" t="s">
        <v>696</v>
      </c>
      <c r="E855" t="s">
        <v>149</v>
      </c>
      <c r="G855">
        <v>0</v>
      </c>
    </row>
    <row r="856" spans="2:7" x14ac:dyDescent="0.25">
      <c r="B856" t="s">
        <v>149</v>
      </c>
      <c r="D856" t="s">
        <v>696</v>
      </c>
      <c r="E856" t="s">
        <v>149</v>
      </c>
      <c r="G856">
        <v>0</v>
      </c>
    </row>
    <row r="857" spans="2:7" x14ac:dyDescent="0.25">
      <c r="B857" t="s">
        <v>149</v>
      </c>
      <c r="D857" t="s">
        <v>696</v>
      </c>
      <c r="E857" t="s">
        <v>149</v>
      </c>
      <c r="G857">
        <v>0</v>
      </c>
    </row>
    <row r="858" spans="2:7" x14ac:dyDescent="0.25">
      <c r="B858" t="s">
        <v>149</v>
      </c>
      <c r="D858" t="s">
        <v>696</v>
      </c>
      <c r="E858" t="s">
        <v>149</v>
      </c>
      <c r="G858">
        <v>0</v>
      </c>
    </row>
    <row r="859" spans="2:7" x14ac:dyDescent="0.25">
      <c r="B859" t="s">
        <v>149</v>
      </c>
      <c r="D859" t="s">
        <v>696</v>
      </c>
      <c r="E859" t="s">
        <v>149</v>
      </c>
      <c r="G859">
        <v>0</v>
      </c>
    </row>
    <row r="860" spans="2:7" x14ac:dyDescent="0.25">
      <c r="B860" t="s">
        <v>149</v>
      </c>
      <c r="D860" t="s">
        <v>696</v>
      </c>
      <c r="E860" t="s">
        <v>149</v>
      </c>
      <c r="G860">
        <v>0</v>
      </c>
    </row>
    <row r="861" spans="2:7" x14ac:dyDescent="0.25">
      <c r="B861" t="s">
        <v>149</v>
      </c>
      <c r="D861" t="s">
        <v>696</v>
      </c>
      <c r="E861" t="s">
        <v>149</v>
      </c>
      <c r="G861">
        <v>0</v>
      </c>
    </row>
    <row r="862" spans="2:7" x14ac:dyDescent="0.25">
      <c r="B862" t="s">
        <v>149</v>
      </c>
      <c r="D862" t="s">
        <v>696</v>
      </c>
      <c r="E862" t="s">
        <v>149</v>
      </c>
      <c r="G862">
        <v>0</v>
      </c>
    </row>
    <row r="863" spans="2:7" x14ac:dyDescent="0.25">
      <c r="B863" t="s">
        <v>149</v>
      </c>
      <c r="D863" t="s">
        <v>696</v>
      </c>
      <c r="E863" t="s">
        <v>149</v>
      </c>
      <c r="G863">
        <v>0</v>
      </c>
    </row>
    <row r="864" spans="2:7" x14ac:dyDescent="0.25">
      <c r="B864" t="s">
        <v>149</v>
      </c>
      <c r="D864" t="s">
        <v>696</v>
      </c>
      <c r="E864" t="s">
        <v>149</v>
      </c>
      <c r="G864">
        <v>0</v>
      </c>
    </row>
    <row r="865" spans="2:7" x14ac:dyDescent="0.25">
      <c r="B865" t="s">
        <v>149</v>
      </c>
      <c r="D865" t="s">
        <v>696</v>
      </c>
      <c r="E865" t="s">
        <v>149</v>
      </c>
      <c r="G865">
        <v>0</v>
      </c>
    </row>
    <row r="866" spans="2:7" x14ac:dyDescent="0.25">
      <c r="B866" t="s">
        <v>149</v>
      </c>
      <c r="D866" t="s">
        <v>696</v>
      </c>
      <c r="E866" t="s">
        <v>149</v>
      </c>
      <c r="G866">
        <v>0</v>
      </c>
    </row>
    <row r="867" spans="2:7" x14ac:dyDescent="0.25">
      <c r="B867" t="s">
        <v>149</v>
      </c>
      <c r="D867" t="s">
        <v>696</v>
      </c>
      <c r="E867" t="s">
        <v>149</v>
      </c>
      <c r="G867">
        <v>0</v>
      </c>
    </row>
    <row r="868" spans="2:7" x14ac:dyDescent="0.25">
      <c r="B868" t="s">
        <v>149</v>
      </c>
      <c r="D868" t="s">
        <v>696</v>
      </c>
      <c r="E868" t="s">
        <v>149</v>
      </c>
      <c r="G868">
        <v>0</v>
      </c>
    </row>
    <row r="869" spans="2:7" x14ac:dyDescent="0.25">
      <c r="B869" t="s">
        <v>149</v>
      </c>
      <c r="D869" t="s">
        <v>696</v>
      </c>
      <c r="E869" t="s">
        <v>149</v>
      </c>
      <c r="G869">
        <v>0</v>
      </c>
    </row>
    <row r="870" spans="2:7" x14ac:dyDescent="0.25">
      <c r="B870" t="s">
        <v>149</v>
      </c>
      <c r="D870" t="s">
        <v>696</v>
      </c>
      <c r="E870" t="s">
        <v>149</v>
      </c>
      <c r="G870">
        <v>0</v>
      </c>
    </row>
    <row r="871" spans="2:7" x14ac:dyDescent="0.25">
      <c r="B871" t="s">
        <v>149</v>
      </c>
      <c r="D871" t="s">
        <v>696</v>
      </c>
      <c r="E871" t="s">
        <v>149</v>
      </c>
      <c r="G871">
        <v>0</v>
      </c>
    </row>
    <row r="872" spans="2:7" x14ac:dyDescent="0.25">
      <c r="B872" t="s">
        <v>149</v>
      </c>
      <c r="D872" t="s">
        <v>696</v>
      </c>
      <c r="E872" t="s">
        <v>149</v>
      </c>
      <c r="G872">
        <v>0</v>
      </c>
    </row>
    <row r="873" spans="2:7" x14ac:dyDescent="0.25">
      <c r="B873" t="s">
        <v>149</v>
      </c>
      <c r="D873" t="s">
        <v>696</v>
      </c>
      <c r="E873" t="s">
        <v>149</v>
      </c>
      <c r="G873">
        <v>0</v>
      </c>
    </row>
    <row r="874" spans="2:7" x14ac:dyDescent="0.25">
      <c r="B874" t="s">
        <v>149</v>
      </c>
      <c r="D874" t="s">
        <v>696</v>
      </c>
      <c r="E874" t="s">
        <v>149</v>
      </c>
      <c r="G874">
        <v>0</v>
      </c>
    </row>
    <row r="875" spans="2:7" x14ac:dyDescent="0.25">
      <c r="B875" t="s">
        <v>149</v>
      </c>
      <c r="D875" t="s">
        <v>696</v>
      </c>
      <c r="E875" t="s">
        <v>149</v>
      </c>
      <c r="G875">
        <v>0</v>
      </c>
    </row>
    <row r="876" spans="2:7" x14ac:dyDescent="0.25">
      <c r="B876" t="s">
        <v>149</v>
      </c>
      <c r="D876" t="s">
        <v>696</v>
      </c>
      <c r="E876" t="s">
        <v>149</v>
      </c>
      <c r="G876">
        <v>0</v>
      </c>
    </row>
    <row r="877" spans="2:7" x14ac:dyDescent="0.25">
      <c r="B877" t="s">
        <v>149</v>
      </c>
      <c r="D877" t="s">
        <v>696</v>
      </c>
      <c r="E877" t="s">
        <v>149</v>
      </c>
      <c r="G877">
        <v>0</v>
      </c>
    </row>
    <row r="878" spans="2:7" x14ac:dyDescent="0.25">
      <c r="B878" t="s">
        <v>149</v>
      </c>
      <c r="D878" t="s">
        <v>696</v>
      </c>
      <c r="E878" t="s">
        <v>149</v>
      </c>
      <c r="G878">
        <v>0</v>
      </c>
    </row>
    <row r="879" spans="2:7" x14ac:dyDescent="0.25">
      <c r="B879" t="s">
        <v>149</v>
      </c>
      <c r="D879" t="s">
        <v>696</v>
      </c>
      <c r="E879" t="s">
        <v>149</v>
      </c>
      <c r="G879">
        <v>0</v>
      </c>
    </row>
    <row r="880" spans="2:7" x14ac:dyDescent="0.25">
      <c r="B880" t="s">
        <v>149</v>
      </c>
      <c r="D880" t="s">
        <v>696</v>
      </c>
      <c r="E880" t="s">
        <v>149</v>
      </c>
      <c r="G880">
        <v>0</v>
      </c>
    </row>
    <row r="881" spans="2:7" x14ac:dyDescent="0.25">
      <c r="B881" t="s">
        <v>149</v>
      </c>
      <c r="D881" t="s">
        <v>696</v>
      </c>
      <c r="E881" t="s">
        <v>149</v>
      </c>
      <c r="G881">
        <v>0</v>
      </c>
    </row>
    <row r="882" spans="2:7" x14ac:dyDescent="0.25">
      <c r="B882" t="s">
        <v>149</v>
      </c>
      <c r="D882" t="s">
        <v>696</v>
      </c>
      <c r="E882" t="s">
        <v>149</v>
      </c>
      <c r="G882">
        <v>0</v>
      </c>
    </row>
    <row r="883" spans="2:7" x14ac:dyDescent="0.25">
      <c r="B883" t="s">
        <v>149</v>
      </c>
      <c r="D883" t="s">
        <v>696</v>
      </c>
      <c r="E883" t="s">
        <v>149</v>
      </c>
      <c r="G883">
        <v>0</v>
      </c>
    </row>
    <row r="884" spans="2:7" x14ac:dyDescent="0.25">
      <c r="B884" t="s">
        <v>149</v>
      </c>
      <c r="D884" t="s">
        <v>696</v>
      </c>
      <c r="E884" t="s">
        <v>149</v>
      </c>
      <c r="G884">
        <v>0</v>
      </c>
    </row>
    <row r="885" spans="2:7" x14ac:dyDescent="0.25">
      <c r="B885" t="s">
        <v>149</v>
      </c>
      <c r="D885" t="s">
        <v>696</v>
      </c>
      <c r="E885" t="s">
        <v>149</v>
      </c>
      <c r="G885">
        <v>0</v>
      </c>
    </row>
    <row r="886" spans="2:7" x14ac:dyDescent="0.25">
      <c r="B886" t="s">
        <v>149</v>
      </c>
      <c r="D886" t="s">
        <v>696</v>
      </c>
      <c r="E886" t="s">
        <v>149</v>
      </c>
      <c r="G886">
        <v>0</v>
      </c>
    </row>
    <row r="887" spans="2:7" x14ac:dyDescent="0.25">
      <c r="B887" t="s">
        <v>149</v>
      </c>
      <c r="D887" t="s">
        <v>696</v>
      </c>
      <c r="E887" t="s">
        <v>149</v>
      </c>
      <c r="G887">
        <v>0</v>
      </c>
    </row>
    <row r="888" spans="2:7" x14ac:dyDescent="0.25">
      <c r="B888" t="s">
        <v>149</v>
      </c>
      <c r="D888" t="s">
        <v>696</v>
      </c>
      <c r="E888" t="s">
        <v>149</v>
      </c>
      <c r="G888">
        <v>0</v>
      </c>
    </row>
    <row r="889" spans="2:7" x14ac:dyDescent="0.25">
      <c r="B889" t="s">
        <v>149</v>
      </c>
      <c r="D889" t="s">
        <v>696</v>
      </c>
      <c r="E889" t="s">
        <v>149</v>
      </c>
      <c r="G889">
        <v>0</v>
      </c>
    </row>
    <row r="890" spans="2:7" x14ac:dyDescent="0.25">
      <c r="B890" t="s">
        <v>149</v>
      </c>
      <c r="D890" t="s">
        <v>696</v>
      </c>
      <c r="E890" t="s">
        <v>149</v>
      </c>
      <c r="G890">
        <v>0</v>
      </c>
    </row>
    <row r="891" spans="2:7" x14ac:dyDescent="0.25">
      <c r="B891" t="s">
        <v>149</v>
      </c>
      <c r="D891" t="s">
        <v>696</v>
      </c>
      <c r="E891" t="s">
        <v>149</v>
      </c>
      <c r="G891">
        <v>0</v>
      </c>
    </row>
    <row r="892" spans="2:7" x14ac:dyDescent="0.25">
      <c r="B892" t="s">
        <v>149</v>
      </c>
      <c r="D892" t="s">
        <v>696</v>
      </c>
      <c r="E892" t="s">
        <v>149</v>
      </c>
      <c r="G892">
        <v>0</v>
      </c>
    </row>
    <row r="893" spans="2:7" x14ac:dyDescent="0.25">
      <c r="B893" t="s">
        <v>149</v>
      </c>
      <c r="D893" t="s">
        <v>696</v>
      </c>
      <c r="E893" t="s">
        <v>149</v>
      </c>
      <c r="G893">
        <v>0</v>
      </c>
    </row>
    <row r="894" spans="2:7" x14ac:dyDescent="0.25">
      <c r="B894" t="s">
        <v>149</v>
      </c>
      <c r="D894" t="s">
        <v>696</v>
      </c>
      <c r="E894" t="s">
        <v>149</v>
      </c>
      <c r="G894">
        <v>0</v>
      </c>
    </row>
    <row r="895" spans="2:7" x14ac:dyDescent="0.25">
      <c r="B895" t="s">
        <v>149</v>
      </c>
      <c r="D895" t="s">
        <v>696</v>
      </c>
      <c r="E895" t="s">
        <v>149</v>
      </c>
      <c r="G895">
        <v>0</v>
      </c>
    </row>
    <row r="896" spans="2:7" x14ac:dyDescent="0.25">
      <c r="B896" t="s">
        <v>149</v>
      </c>
      <c r="D896" t="s">
        <v>696</v>
      </c>
      <c r="E896" t="s">
        <v>149</v>
      </c>
      <c r="G896">
        <v>0</v>
      </c>
    </row>
    <row r="897" spans="2:7" x14ac:dyDescent="0.25">
      <c r="B897" t="s">
        <v>149</v>
      </c>
      <c r="D897" t="s">
        <v>696</v>
      </c>
      <c r="E897" t="s">
        <v>149</v>
      </c>
      <c r="G897">
        <v>0</v>
      </c>
    </row>
    <row r="898" spans="2:7" x14ac:dyDescent="0.25">
      <c r="B898" t="s">
        <v>149</v>
      </c>
      <c r="D898" t="s">
        <v>696</v>
      </c>
      <c r="E898" t="s">
        <v>149</v>
      </c>
      <c r="G898">
        <v>0</v>
      </c>
    </row>
    <row r="899" spans="2:7" x14ac:dyDescent="0.25">
      <c r="B899" t="s">
        <v>149</v>
      </c>
      <c r="D899" t="s">
        <v>696</v>
      </c>
      <c r="E899" t="s">
        <v>149</v>
      </c>
      <c r="G899">
        <v>0</v>
      </c>
    </row>
    <row r="900" spans="2:7" x14ac:dyDescent="0.25">
      <c r="B900" t="s">
        <v>149</v>
      </c>
      <c r="D900" t="s">
        <v>696</v>
      </c>
      <c r="E900" t="s">
        <v>149</v>
      </c>
      <c r="G900">
        <v>0</v>
      </c>
    </row>
    <row r="901" spans="2:7" x14ac:dyDescent="0.25">
      <c r="B901" t="s">
        <v>149</v>
      </c>
      <c r="D901" t="s">
        <v>696</v>
      </c>
      <c r="E901" t="s">
        <v>149</v>
      </c>
      <c r="G901">
        <v>0</v>
      </c>
    </row>
    <row r="902" spans="2:7" x14ac:dyDescent="0.25">
      <c r="B902" t="s">
        <v>149</v>
      </c>
      <c r="D902" t="s">
        <v>696</v>
      </c>
      <c r="E902" t="s">
        <v>149</v>
      </c>
      <c r="G902">
        <v>0</v>
      </c>
    </row>
    <row r="903" spans="2:7" x14ac:dyDescent="0.25">
      <c r="B903" t="s">
        <v>149</v>
      </c>
      <c r="D903" t="s">
        <v>696</v>
      </c>
      <c r="E903" t="s">
        <v>149</v>
      </c>
      <c r="G903">
        <v>0</v>
      </c>
    </row>
    <row r="904" spans="2:7" x14ac:dyDescent="0.25">
      <c r="B904" t="s">
        <v>149</v>
      </c>
      <c r="D904" t="s">
        <v>696</v>
      </c>
      <c r="E904" t="s">
        <v>149</v>
      </c>
      <c r="G904">
        <v>0</v>
      </c>
    </row>
    <row r="905" spans="2:7" x14ac:dyDescent="0.25">
      <c r="B905" t="s">
        <v>149</v>
      </c>
      <c r="D905" t="s">
        <v>696</v>
      </c>
      <c r="E905" t="s">
        <v>149</v>
      </c>
      <c r="G905">
        <v>0</v>
      </c>
    </row>
    <row r="906" spans="2:7" x14ac:dyDescent="0.25">
      <c r="B906" t="s">
        <v>149</v>
      </c>
      <c r="D906" t="s">
        <v>696</v>
      </c>
      <c r="E906" t="s">
        <v>149</v>
      </c>
      <c r="G906">
        <v>0</v>
      </c>
    </row>
    <row r="907" spans="2:7" x14ac:dyDescent="0.25">
      <c r="B907" t="s">
        <v>149</v>
      </c>
      <c r="D907" t="s">
        <v>696</v>
      </c>
      <c r="E907" t="s">
        <v>149</v>
      </c>
      <c r="G907">
        <v>0</v>
      </c>
    </row>
    <row r="908" spans="2:7" x14ac:dyDescent="0.25">
      <c r="B908" t="s">
        <v>149</v>
      </c>
      <c r="D908" t="s">
        <v>696</v>
      </c>
      <c r="E908" t="s">
        <v>149</v>
      </c>
      <c r="G908">
        <v>0</v>
      </c>
    </row>
    <row r="909" spans="2:7" x14ac:dyDescent="0.25">
      <c r="B909" t="s">
        <v>149</v>
      </c>
      <c r="D909" t="s">
        <v>696</v>
      </c>
      <c r="E909" t="s">
        <v>149</v>
      </c>
      <c r="G909">
        <v>0</v>
      </c>
    </row>
    <row r="910" spans="2:7" x14ac:dyDescent="0.25">
      <c r="B910" t="s">
        <v>149</v>
      </c>
      <c r="D910" t="s">
        <v>696</v>
      </c>
      <c r="E910" t="s">
        <v>149</v>
      </c>
      <c r="G910">
        <v>0</v>
      </c>
    </row>
    <row r="911" spans="2:7" x14ac:dyDescent="0.25">
      <c r="B911" t="s">
        <v>149</v>
      </c>
      <c r="D911" t="s">
        <v>696</v>
      </c>
      <c r="E911" t="s">
        <v>149</v>
      </c>
      <c r="G911">
        <v>0</v>
      </c>
    </row>
    <row r="912" spans="2:7" x14ac:dyDescent="0.25">
      <c r="B912" t="s">
        <v>149</v>
      </c>
      <c r="D912" t="s">
        <v>696</v>
      </c>
      <c r="E912" t="s">
        <v>149</v>
      </c>
      <c r="G912">
        <v>0</v>
      </c>
    </row>
    <row r="913" spans="2:7" x14ac:dyDescent="0.25">
      <c r="B913" t="s">
        <v>149</v>
      </c>
      <c r="D913" t="s">
        <v>696</v>
      </c>
      <c r="E913" t="s">
        <v>149</v>
      </c>
      <c r="G913">
        <v>0</v>
      </c>
    </row>
    <row r="914" spans="2:7" x14ac:dyDescent="0.25">
      <c r="B914" t="s">
        <v>149</v>
      </c>
      <c r="D914" t="s">
        <v>696</v>
      </c>
      <c r="E914" t="s">
        <v>149</v>
      </c>
      <c r="G914">
        <v>0</v>
      </c>
    </row>
    <row r="915" spans="2:7" x14ac:dyDescent="0.25">
      <c r="B915" t="s">
        <v>149</v>
      </c>
      <c r="D915" t="s">
        <v>696</v>
      </c>
      <c r="E915" t="s">
        <v>149</v>
      </c>
      <c r="G915">
        <v>0</v>
      </c>
    </row>
    <row r="916" spans="2:7" x14ac:dyDescent="0.25">
      <c r="B916" t="s">
        <v>149</v>
      </c>
      <c r="D916" t="s">
        <v>696</v>
      </c>
      <c r="E916" t="s">
        <v>149</v>
      </c>
      <c r="G916">
        <v>0</v>
      </c>
    </row>
    <row r="917" spans="2:7" x14ac:dyDescent="0.25">
      <c r="B917" t="s">
        <v>149</v>
      </c>
      <c r="D917" t="s">
        <v>696</v>
      </c>
      <c r="E917" t="s">
        <v>149</v>
      </c>
      <c r="G917">
        <v>0</v>
      </c>
    </row>
    <row r="918" spans="2:7" x14ac:dyDescent="0.25">
      <c r="B918" t="s">
        <v>149</v>
      </c>
      <c r="D918" t="s">
        <v>696</v>
      </c>
      <c r="E918" t="s">
        <v>149</v>
      </c>
      <c r="G918">
        <v>0</v>
      </c>
    </row>
    <row r="919" spans="2:7" x14ac:dyDescent="0.25">
      <c r="B919" t="s">
        <v>149</v>
      </c>
      <c r="D919" t="s">
        <v>696</v>
      </c>
      <c r="E919" t="s">
        <v>149</v>
      </c>
      <c r="G919">
        <v>0</v>
      </c>
    </row>
    <row r="920" spans="2:7" x14ac:dyDescent="0.25">
      <c r="B920" t="s">
        <v>149</v>
      </c>
      <c r="D920" t="s">
        <v>696</v>
      </c>
      <c r="E920" t="s">
        <v>149</v>
      </c>
      <c r="G920">
        <v>0</v>
      </c>
    </row>
    <row r="921" spans="2:7" x14ac:dyDescent="0.25">
      <c r="B921" t="s">
        <v>149</v>
      </c>
      <c r="D921" t="s">
        <v>696</v>
      </c>
      <c r="E921" t="s">
        <v>149</v>
      </c>
      <c r="G921">
        <v>0</v>
      </c>
    </row>
    <row r="922" spans="2:7" x14ac:dyDescent="0.25">
      <c r="B922" t="s">
        <v>149</v>
      </c>
      <c r="D922" t="s">
        <v>696</v>
      </c>
      <c r="E922" t="s">
        <v>149</v>
      </c>
      <c r="G922">
        <v>0</v>
      </c>
    </row>
    <row r="923" spans="2:7" x14ac:dyDescent="0.25">
      <c r="B923" t="s">
        <v>149</v>
      </c>
      <c r="D923" t="s">
        <v>696</v>
      </c>
      <c r="E923" t="s">
        <v>149</v>
      </c>
      <c r="G923">
        <v>0</v>
      </c>
    </row>
    <row r="924" spans="2:7" x14ac:dyDescent="0.25">
      <c r="B924" t="s">
        <v>149</v>
      </c>
      <c r="D924" t="s">
        <v>696</v>
      </c>
      <c r="E924" t="s">
        <v>149</v>
      </c>
      <c r="G924">
        <v>0</v>
      </c>
    </row>
    <row r="925" spans="2:7" x14ac:dyDescent="0.25">
      <c r="B925" t="s">
        <v>149</v>
      </c>
      <c r="D925" t="s">
        <v>696</v>
      </c>
      <c r="E925" t="s">
        <v>149</v>
      </c>
      <c r="G925">
        <v>0</v>
      </c>
    </row>
    <row r="926" spans="2:7" x14ac:dyDescent="0.25">
      <c r="B926" t="s">
        <v>149</v>
      </c>
      <c r="D926" t="s">
        <v>696</v>
      </c>
      <c r="E926" t="s">
        <v>149</v>
      </c>
      <c r="G926">
        <v>0</v>
      </c>
    </row>
    <row r="927" spans="2:7" x14ac:dyDescent="0.25">
      <c r="B927" t="s">
        <v>149</v>
      </c>
      <c r="D927" t="s">
        <v>696</v>
      </c>
      <c r="E927" t="s">
        <v>149</v>
      </c>
      <c r="G927">
        <v>0</v>
      </c>
    </row>
    <row r="928" spans="2:7" x14ac:dyDescent="0.25">
      <c r="B928" t="s">
        <v>149</v>
      </c>
      <c r="D928" t="s">
        <v>696</v>
      </c>
      <c r="E928" t="s">
        <v>149</v>
      </c>
      <c r="G928">
        <v>0</v>
      </c>
    </row>
    <row r="929" spans="2:7" x14ac:dyDescent="0.25">
      <c r="B929" t="s">
        <v>149</v>
      </c>
      <c r="D929" t="s">
        <v>696</v>
      </c>
      <c r="E929" t="s">
        <v>149</v>
      </c>
      <c r="G929">
        <v>0</v>
      </c>
    </row>
    <row r="930" spans="2:7" x14ac:dyDescent="0.25">
      <c r="B930" t="s">
        <v>149</v>
      </c>
      <c r="D930" t="s">
        <v>696</v>
      </c>
      <c r="E930" t="s">
        <v>149</v>
      </c>
      <c r="G930">
        <v>0</v>
      </c>
    </row>
    <row r="931" spans="2:7" x14ac:dyDescent="0.25">
      <c r="B931" t="s">
        <v>149</v>
      </c>
      <c r="D931" t="s">
        <v>696</v>
      </c>
      <c r="E931" t="s">
        <v>149</v>
      </c>
      <c r="G931">
        <v>0</v>
      </c>
    </row>
    <row r="932" spans="2:7" x14ac:dyDescent="0.25">
      <c r="B932" t="s">
        <v>149</v>
      </c>
      <c r="D932" t="s">
        <v>696</v>
      </c>
      <c r="E932" t="s">
        <v>149</v>
      </c>
      <c r="G932">
        <v>0</v>
      </c>
    </row>
    <row r="933" spans="2:7" x14ac:dyDescent="0.25">
      <c r="B933" t="s">
        <v>149</v>
      </c>
      <c r="D933" t="s">
        <v>696</v>
      </c>
      <c r="E933" t="s">
        <v>149</v>
      </c>
      <c r="G933">
        <v>0</v>
      </c>
    </row>
    <row r="934" spans="2:7" x14ac:dyDescent="0.25">
      <c r="B934" t="s">
        <v>149</v>
      </c>
      <c r="D934" t="s">
        <v>696</v>
      </c>
      <c r="E934" t="s">
        <v>149</v>
      </c>
      <c r="G934">
        <v>0</v>
      </c>
    </row>
    <row r="935" spans="2:7" x14ac:dyDescent="0.25">
      <c r="B935" t="s">
        <v>149</v>
      </c>
      <c r="D935" t="s">
        <v>696</v>
      </c>
      <c r="E935" t="s">
        <v>149</v>
      </c>
      <c r="G935">
        <v>0</v>
      </c>
    </row>
    <row r="936" spans="2:7" x14ac:dyDescent="0.25">
      <c r="B936" t="s">
        <v>149</v>
      </c>
      <c r="D936" t="s">
        <v>696</v>
      </c>
      <c r="E936" t="s">
        <v>149</v>
      </c>
      <c r="G936">
        <v>0</v>
      </c>
    </row>
    <row r="937" spans="2:7" x14ac:dyDescent="0.25">
      <c r="B937" t="s">
        <v>149</v>
      </c>
      <c r="D937" t="s">
        <v>696</v>
      </c>
      <c r="E937" t="s">
        <v>149</v>
      </c>
      <c r="G937">
        <v>0</v>
      </c>
    </row>
    <row r="938" spans="2:7" x14ac:dyDescent="0.25">
      <c r="B938" t="s">
        <v>149</v>
      </c>
      <c r="D938" t="s">
        <v>696</v>
      </c>
      <c r="E938" t="s">
        <v>149</v>
      </c>
      <c r="G938">
        <v>0</v>
      </c>
    </row>
    <row r="939" spans="2:7" x14ac:dyDescent="0.25">
      <c r="B939" t="s">
        <v>149</v>
      </c>
      <c r="D939" t="s">
        <v>696</v>
      </c>
      <c r="E939" t="s">
        <v>149</v>
      </c>
      <c r="G939">
        <v>0</v>
      </c>
    </row>
    <row r="940" spans="2:7" x14ac:dyDescent="0.25">
      <c r="B940" t="s">
        <v>149</v>
      </c>
      <c r="D940" t="s">
        <v>696</v>
      </c>
      <c r="E940" t="s">
        <v>149</v>
      </c>
      <c r="G940">
        <v>0</v>
      </c>
    </row>
    <row r="941" spans="2:7" x14ac:dyDescent="0.25">
      <c r="B941" t="s">
        <v>149</v>
      </c>
      <c r="D941" t="s">
        <v>696</v>
      </c>
      <c r="E941" t="s">
        <v>149</v>
      </c>
      <c r="G941">
        <v>0</v>
      </c>
    </row>
    <row r="942" spans="2:7" x14ac:dyDescent="0.25">
      <c r="B942" t="s">
        <v>149</v>
      </c>
      <c r="D942" t="s">
        <v>696</v>
      </c>
      <c r="E942" t="s">
        <v>149</v>
      </c>
      <c r="G942">
        <v>0</v>
      </c>
    </row>
    <row r="943" spans="2:7" x14ac:dyDescent="0.25">
      <c r="B943" t="s">
        <v>149</v>
      </c>
      <c r="D943" t="s">
        <v>696</v>
      </c>
      <c r="E943" t="s">
        <v>149</v>
      </c>
      <c r="G943">
        <v>0</v>
      </c>
    </row>
    <row r="944" spans="2:7" x14ac:dyDescent="0.25">
      <c r="B944" t="s">
        <v>149</v>
      </c>
      <c r="D944" t="s">
        <v>696</v>
      </c>
      <c r="E944" t="s">
        <v>149</v>
      </c>
      <c r="G944">
        <v>0</v>
      </c>
    </row>
    <row r="945" spans="2:7" x14ac:dyDescent="0.25">
      <c r="B945" t="s">
        <v>149</v>
      </c>
      <c r="D945" t="s">
        <v>696</v>
      </c>
      <c r="E945" t="s">
        <v>149</v>
      </c>
      <c r="G945">
        <v>0</v>
      </c>
    </row>
    <row r="946" spans="2:7" x14ac:dyDescent="0.25">
      <c r="B946" t="s">
        <v>149</v>
      </c>
      <c r="D946" t="s">
        <v>696</v>
      </c>
      <c r="E946" t="s">
        <v>149</v>
      </c>
      <c r="G946">
        <v>0</v>
      </c>
    </row>
    <row r="947" spans="2:7" x14ac:dyDescent="0.25">
      <c r="B947" t="s">
        <v>149</v>
      </c>
      <c r="D947" t="s">
        <v>696</v>
      </c>
      <c r="E947" t="s">
        <v>149</v>
      </c>
      <c r="G947">
        <v>0</v>
      </c>
    </row>
    <row r="948" spans="2:7" x14ac:dyDescent="0.25">
      <c r="B948" t="s">
        <v>149</v>
      </c>
      <c r="D948" t="s">
        <v>696</v>
      </c>
      <c r="E948" t="s">
        <v>149</v>
      </c>
      <c r="G948">
        <v>0</v>
      </c>
    </row>
    <row r="949" spans="2:7" x14ac:dyDescent="0.25">
      <c r="B949" t="s">
        <v>149</v>
      </c>
      <c r="D949" t="s">
        <v>696</v>
      </c>
      <c r="E949" t="s">
        <v>149</v>
      </c>
      <c r="G949">
        <v>0</v>
      </c>
    </row>
    <row r="950" spans="2:7" x14ac:dyDescent="0.25">
      <c r="B950" t="s">
        <v>149</v>
      </c>
      <c r="D950" t="s">
        <v>696</v>
      </c>
      <c r="E950" t="s">
        <v>149</v>
      </c>
      <c r="G950">
        <v>0</v>
      </c>
    </row>
    <row r="951" spans="2:7" x14ac:dyDescent="0.25">
      <c r="B951" t="s">
        <v>149</v>
      </c>
      <c r="D951" t="s">
        <v>696</v>
      </c>
      <c r="E951" t="s">
        <v>149</v>
      </c>
      <c r="G951">
        <v>0</v>
      </c>
    </row>
    <row r="952" spans="2:7" x14ac:dyDescent="0.25">
      <c r="B952" t="s">
        <v>149</v>
      </c>
      <c r="D952" t="s">
        <v>696</v>
      </c>
      <c r="E952" t="s">
        <v>149</v>
      </c>
      <c r="G952">
        <v>0</v>
      </c>
    </row>
    <row r="953" spans="2:7" x14ac:dyDescent="0.25">
      <c r="B953" t="s">
        <v>149</v>
      </c>
      <c r="D953" t="s">
        <v>696</v>
      </c>
      <c r="E953" t="s">
        <v>149</v>
      </c>
      <c r="G953">
        <v>0</v>
      </c>
    </row>
    <row r="954" spans="2:7" x14ac:dyDescent="0.25">
      <c r="B954" t="s">
        <v>149</v>
      </c>
      <c r="D954" t="s">
        <v>696</v>
      </c>
      <c r="E954" t="s">
        <v>149</v>
      </c>
      <c r="G954">
        <v>0</v>
      </c>
    </row>
    <row r="955" spans="2:7" x14ac:dyDescent="0.25">
      <c r="B955" t="s">
        <v>149</v>
      </c>
      <c r="D955" t="s">
        <v>696</v>
      </c>
      <c r="E955" t="s">
        <v>149</v>
      </c>
      <c r="G955">
        <v>0</v>
      </c>
    </row>
    <row r="956" spans="2:7" x14ac:dyDescent="0.25">
      <c r="B956" t="s">
        <v>149</v>
      </c>
      <c r="D956" t="s">
        <v>696</v>
      </c>
      <c r="E956" t="s">
        <v>149</v>
      </c>
      <c r="G956">
        <v>0</v>
      </c>
    </row>
    <row r="957" spans="2:7" x14ac:dyDescent="0.25">
      <c r="B957" t="s">
        <v>149</v>
      </c>
      <c r="D957" t="s">
        <v>696</v>
      </c>
      <c r="E957" t="s">
        <v>149</v>
      </c>
      <c r="G957">
        <v>0</v>
      </c>
    </row>
    <row r="958" spans="2:7" x14ac:dyDescent="0.25">
      <c r="B958" t="s">
        <v>149</v>
      </c>
      <c r="D958" t="s">
        <v>696</v>
      </c>
      <c r="E958" t="s">
        <v>149</v>
      </c>
      <c r="G958">
        <v>0</v>
      </c>
    </row>
    <row r="959" spans="2:7" x14ac:dyDescent="0.25">
      <c r="B959" t="s">
        <v>149</v>
      </c>
      <c r="D959" t="s">
        <v>696</v>
      </c>
      <c r="E959" t="s">
        <v>149</v>
      </c>
      <c r="G959">
        <v>0</v>
      </c>
    </row>
    <row r="960" spans="2:7" x14ac:dyDescent="0.25">
      <c r="B960" t="s">
        <v>149</v>
      </c>
      <c r="D960" t="s">
        <v>696</v>
      </c>
      <c r="E960" t="s">
        <v>149</v>
      </c>
      <c r="G960">
        <v>0</v>
      </c>
    </row>
    <row r="961" spans="2:7" x14ac:dyDescent="0.25">
      <c r="B961" t="s">
        <v>149</v>
      </c>
      <c r="D961" t="s">
        <v>696</v>
      </c>
      <c r="E961" t="s">
        <v>149</v>
      </c>
      <c r="G961">
        <v>0</v>
      </c>
    </row>
    <row r="962" spans="2:7" x14ac:dyDescent="0.25">
      <c r="B962" t="s">
        <v>149</v>
      </c>
      <c r="D962" t="s">
        <v>696</v>
      </c>
      <c r="E962" t="s">
        <v>149</v>
      </c>
      <c r="G962">
        <v>0</v>
      </c>
    </row>
    <row r="963" spans="2:7" x14ac:dyDescent="0.25">
      <c r="B963" t="s">
        <v>149</v>
      </c>
      <c r="D963" t="s">
        <v>696</v>
      </c>
      <c r="E963" t="s">
        <v>149</v>
      </c>
      <c r="G963">
        <v>0</v>
      </c>
    </row>
    <row r="964" spans="2:7" x14ac:dyDescent="0.25">
      <c r="B964" t="s">
        <v>149</v>
      </c>
      <c r="D964" t="s">
        <v>696</v>
      </c>
      <c r="E964" t="s">
        <v>149</v>
      </c>
      <c r="G964">
        <v>0</v>
      </c>
    </row>
    <row r="965" spans="2:7" x14ac:dyDescent="0.25">
      <c r="B965" t="s">
        <v>149</v>
      </c>
      <c r="D965" t="s">
        <v>696</v>
      </c>
      <c r="E965" t="s">
        <v>149</v>
      </c>
      <c r="G965">
        <v>0</v>
      </c>
    </row>
    <row r="966" spans="2:7" x14ac:dyDescent="0.25">
      <c r="B966" t="s">
        <v>149</v>
      </c>
      <c r="D966" t="s">
        <v>696</v>
      </c>
      <c r="E966" t="s">
        <v>149</v>
      </c>
      <c r="G966">
        <v>0</v>
      </c>
    </row>
    <row r="967" spans="2:7" x14ac:dyDescent="0.25">
      <c r="B967" t="s">
        <v>149</v>
      </c>
      <c r="D967" t="s">
        <v>696</v>
      </c>
      <c r="E967" t="s">
        <v>149</v>
      </c>
      <c r="G967">
        <v>0</v>
      </c>
    </row>
    <row r="968" spans="2:7" x14ac:dyDescent="0.25">
      <c r="B968" t="s">
        <v>149</v>
      </c>
      <c r="D968" t="s">
        <v>696</v>
      </c>
      <c r="E968" t="s">
        <v>149</v>
      </c>
      <c r="G968">
        <v>0</v>
      </c>
    </row>
    <row r="969" spans="2:7" x14ac:dyDescent="0.25">
      <c r="B969" t="s">
        <v>149</v>
      </c>
      <c r="D969" t="s">
        <v>696</v>
      </c>
      <c r="E969" t="s">
        <v>149</v>
      </c>
      <c r="G969">
        <v>0</v>
      </c>
    </row>
    <row r="970" spans="2:7" x14ac:dyDescent="0.25">
      <c r="B970" t="s">
        <v>149</v>
      </c>
      <c r="D970" t="s">
        <v>696</v>
      </c>
      <c r="E970" t="s">
        <v>149</v>
      </c>
      <c r="G970">
        <v>0</v>
      </c>
    </row>
    <row r="971" spans="2:7" x14ac:dyDescent="0.25">
      <c r="B971" t="s">
        <v>149</v>
      </c>
      <c r="D971" t="s">
        <v>696</v>
      </c>
      <c r="E971" t="s">
        <v>149</v>
      </c>
      <c r="G971">
        <v>0</v>
      </c>
    </row>
    <row r="972" spans="2:7" x14ac:dyDescent="0.25">
      <c r="B972" t="s">
        <v>149</v>
      </c>
      <c r="D972" t="s">
        <v>696</v>
      </c>
      <c r="E972" t="s">
        <v>149</v>
      </c>
      <c r="G972">
        <v>0</v>
      </c>
    </row>
    <row r="973" spans="2:7" x14ac:dyDescent="0.25">
      <c r="B973" t="s">
        <v>149</v>
      </c>
      <c r="D973" t="s">
        <v>696</v>
      </c>
      <c r="E973" t="s">
        <v>149</v>
      </c>
      <c r="G973">
        <v>0</v>
      </c>
    </row>
    <row r="974" spans="2:7" x14ac:dyDescent="0.25">
      <c r="B974" t="s">
        <v>149</v>
      </c>
      <c r="D974" t="s">
        <v>696</v>
      </c>
      <c r="E974" t="s">
        <v>149</v>
      </c>
      <c r="G974">
        <v>0</v>
      </c>
    </row>
    <row r="975" spans="2:7" x14ac:dyDescent="0.25">
      <c r="B975" t="s">
        <v>149</v>
      </c>
      <c r="D975" t="s">
        <v>696</v>
      </c>
      <c r="E975" t="s">
        <v>149</v>
      </c>
      <c r="G975">
        <v>0</v>
      </c>
    </row>
    <row r="976" spans="2:7" x14ac:dyDescent="0.25">
      <c r="B976" t="s">
        <v>149</v>
      </c>
      <c r="D976" t="s">
        <v>696</v>
      </c>
      <c r="E976" t="s">
        <v>149</v>
      </c>
      <c r="G976">
        <v>0</v>
      </c>
    </row>
    <row r="977" spans="2:7" x14ac:dyDescent="0.25">
      <c r="B977" t="s">
        <v>149</v>
      </c>
      <c r="D977" t="s">
        <v>696</v>
      </c>
      <c r="E977" t="s">
        <v>149</v>
      </c>
      <c r="G977">
        <v>0</v>
      </c>
    </row>
    <row r="978" spans="2:7" x14ac:dyDescent="0.25">
      <c r="B978" t="s">
        <v>149</v>
      </c>
      <c r="D978" t="s">
        <v>696</v>
      </c>
      <c r="E978" t="s">
        <v>149</v>
      </c>
      <c r="G978">
        <v>0</v>
      </c>
    </row>
    <row r="979" spans="2:7" x14ac:dyDescent="0.25">
      <c r="B979" t="s">
        <v>149</v>
      </c>
      <c r="D979" t="s">
        <v>696</v>
      </c>
      <c r="E979" t="s">
        <v>149</v>
      </c>
      <c r="G979">
        <v>0</v>
      </c>
    </row>
    <row r="980" spans="2:7" x14ac:dyDescent="0.25">
      <c r="B980" t="s">
        <v>149</v>
      </c>
      <c r="D980" t="s">
        <v>696</v>
      </c>
      <c r="E980" t="s">
        <v>149</v>
      </c>
      <c r="G980">
        <v>0</v>
      </c>
    </row>
    <row r="981" spans="2:7" x14ac:dyDescent="0.25">
      <c r="B981" t="s">
        <v>149</v>
      </c>
      <c r="D981" t="s">
        <v>696</v>
      </c>
      <c r="E981" t="s">
        <v>149</v>
      </c>
      <c r="G981">
        <v>0</v>
      </c>
    </row>
    <row r="982" spans="2:7" x14ac:dyDescent="0.25">
      <c r="B982" t="s">
        <v>149</v>
      </c>
      <c r="D982" t="s">
        <v>696</v>
      </c>
      <c r="E982" t="s">
        <v>149</v>
      </c>
      <c r="G982">
        <v>0</v>
      </c>
    </row>
    <row r="983" spans="2:7" x14ac:dyDescent="0.25">
      <c r="B983" t="s">
        <v>149</v>
      </c>
      <c r="D983" t="s">
        <v>696</v>
      </c>
      <c r="E983" t="s">
        <v>149</v>
      </c>
      <c r="G983">
        <v>0</v>
      </c>
    </row>
    <row r="984" spans="2:7" x14ac:dyDescent="0.25">
      <c r="B984" t="s">
        <v>149</v>
      </c>
      <c r="D984" t="s">
        <v>696</v>
      </c>
      <c r="E984" t="s">
        <v>149</v>
      </c>
      <c r="G984">
        <v>0</v>
      </c>
    </row>
    <row r="985" spans="2:7" x14ac:dyDescent="0.25">
      <c r="B985" t="s">
        <v>149</v>
      </c>
      <c r="D985" t="s">
        <v>696</v>
      </c>
      <c r="E985" t="s">
        <v>149</v>
      </c>
      <c r="G985">
        <v>0</v>
      </c>
    </row>
    <row r="986" spans="2:7" x14ac:dyDescent="0.25">
      <c r="B986" t="s">
        <v>149</v>
      </c>
      <c r="D986" t="s">
        <v>696</v>
      </c>
      <c r="E986" t="s">
        <v>149</v>
      </c>
      <c r="G986">
        <v>0</v>
      </c>
    </row>
    <row r="987" spans="2:7" x14ac:dyDescent="0.25">
      <c r="B987" t="s">
        <v>149</v>
      </c>
      <c r="D987" t="s">
        <v>696</v>
      </c>
      <c r="E987" t="s">
        <v>149</v>
      </c>
      <c r="G987">
        <v>0</v>
      </c>
    </row>
    <row r="988" spans="2:7" x14ac:dyDescent="0.25">
      <c r="B988" t="s">
        <v>149</v>
      </c>
      <c r="D988" t="s">
        <v>696</v>
      </c>
      <c r="E988" t="s">
        <v>149</v>
      </c>
      <c r="G988">
        <v>0</v>
      </c>
    </row>
    <row r="989" spans="2:7" x14ac:dyDescent="0.25">
      <c r="B989" t="s">
        <v>149</v>
      </c>
      <c r="D989" t="s">
        <v>696</v>
      </c>
      <c r="E989" t="s">
        <v>149</v>
      </c>
      <c r="G989">
        <v>0</v>
      </c>
    </row>
    <row r="990" spans="2:7" x14ac:dyDescent="0.25">
      <c r="B990" t="s">
        <v>149</v>
      </c>
      <c r="D990" t="s">
        <v>696</v>
      </c>
      <c r="E990" t="s">
        <v>149</v>
      </c>
      <c r="G990">
        <v>0</v>
      </c>
    </row>
    <row r="991" spans="2:7" x14ac:dyDescent="0.25">
      <c r="B991" t="s">
        <v>149</v>
      </c>
      <c r="D991" t="s">
        <v>696</v>
      </c>
      <c r="E991" t="s">
        <v>149</v>
      </c>
      <c r="G991">
        <v>0</v>
      </c>
    </row>
    <row r="992" spans="2:7" x14ac:dyDescent="0.25">
      <c r="B992" t="s">
        <v>149</v>
      </c>
      <c r="D992" t="s">
        <v>696</v>
      </c>
      <c r="E992" t="s">
        <v>149</v>
      </c>
      <c r="G992">
        <v>0</v>
      </c>
    </row>
    <row r="993" spans="2:7" x14ac:dyDescent="0.25">
      <c r="B993" t="s">
        <v>149</v>
      </c>
      <c r="D993" t="s">
        <v>696</v>
      </c>
      <c r="E993" t="s">
        <v>149</v>
      </c>
      <c r="G993">
        <v>0</v>
      </c>
    </row>
    <row r="994" spans="2:7" x14ac:dyDescent="0.25">
      <c r="B994" t="s">
        <v>149</v>
      </c>
      <c r="D994" t="s">
        <v>696</v>
      </c>
      <c r="E994" t="s">
        <v>149</v>
      </c>
      <c r="G994">
        <v>0</v>
      </c>
    </row>
    <row r="995" spans="2:7" x14ac:dyDescent="0.25">
      <c r="B995" t="s">
        <v>149</v>
      </c>
      <c r="D995" t="s">
        <v>696</v>
      </c>
      <c r="E995" t="s">
        <v>149</v>
      </c>
      <c r="G995">
        <v>0</v>
      </c>
    </row>
    <row r="996" spans="2:7" x14ac:dyDescent="0.25">
      <c r="B996" t="s">
        <v>149</v>
      </c>
      <c r="D996" t="s">
        <v>696</v>
      </c>
      <c r="E996" t="s">
        <v>149</v>
      </c>
      <c r="G996">
        <v>0</v>
      </c>
    </row>
    <row r="997" spans="2:7" x14ac:dyDescent="0.25">
      <c r="B997" t="s">
        <v>149</v>
      </c>
      <c r="D997" t="s">
        <v>696</v>
      </c>
      <c r="E997" t="s">
        <v>149</v>
      </c>
      <c r="G997">
        <v>0</v>
      </c>
    </row>
    <row r="998" spans="2:7" x14ac:dyDescent="0.25">
      <c r="B998" t="s">
        <v>149</v>
      </c>
      <c r="D998" t="s">
        <v>696</v>
      </c>
      <c r="E998" t="s">
        <v>149</v>
      </c>
      <c r="G998">
        <v>0</v>
      </c>
    </row>
    <row r="999" spans="2:7" x14ac:dyDescent="0.25">
      <c r="B999" t="s">
        <v>149</v>
      </c>
      <c r="D999" t="s">
        <v>696</v>
      </c>
      <c r="E999" t="s">
        <v>149</v>
      </c>
      <c r="G999">
        <v>0</v>
      </c>
    </row>
    <row r="1000" spans="2:7" x14ac:dyDescent="0.25">
      <c r="B1000" t="s">
        <v>149</v>
      </c>
      <c r="D1000" t="s">
        <v>696</v>
      </c>
      <c r="E1000" t="s">
        <v>149</v>
      </c>
      <c r="G1000">
        <v>0</v>
      </c>
    </row>
    <row r="1001" spans="2:7" x14ac:dyDescent="0.25">
      <c r="B1001" t="s">
        <v>149</v>
      </c>
      <c r="D1001" t="s">
        <v>696</v>
      </c>
      <c r="E1001" t="s">
        <v>149</v>
      </c>
      <c r="G1001">
        <v>0</v>
      </c>
    </row>
    <row r="1002" spans="2:7" x14ac:dyDescent="0.25">
      <c r="B1002" t="s">
        <v>149</v>
      </c>
      <c r="D1002" t="s">
        <v>696</v>
      </c>
      <c r="E1002" t="s">
        <v>149</v>
      </c>
      <c r="G1002">
        <v>0</v>
      </c>
    </row>
    <row r="1003" spans="2:7" x14ac:dyDescent="0.25">
      <c r="B1003" t="s">
        <v>149</v>
      </c>
      <c r="D1003" t="s">
        <v>696</v>
      </c>
      <c r="E1003" t="s">
        <v>149</v>
      </c>
      <c r="G1003">
        <v>0</v>
      </c>
    </row>
    <row r="1004" spans="2:7" x14ac:dyDescent="0.25">
      <c r="B1004" t="s">
        <v>149</v>
      </c>
      <c r="D1004" t="s">
        <v>696</v>
      </c>
      <c r="E1004" t="s">
        <v>149</v>
      </c>
      <c r="G1004">
        <v>0</v>
      </c>
    </row>
    <row r="1005" spans="2:7" x14ac:dyDescent="0.25">
      <c r="B1005" t="s">
        <v>149</v>
      </c>
      <c r="D1005" t="s">
        <v>696</v>
      </c>
      <c r="E1005" t="s">
        <v>149</v>
      </c>
      <c r="G1005">
        <v>0</v>
      </c>
    </row>
    <row r="1006" spans="2:7" x14ac:dyDescent="0.25">
      <c r="B1006" t="s">
        <v>149</v>
      </c>
      <c r="D1006" t="s">
        <v>696</v>
      </c>
      <c r="E1006" t="s">
        <v>149</v>
      </c>
      <c r="G1006">
        <v>0</v>
      </c>
    </row>
    <row r="1007" spans="2:7" x14ac:dyDescent="0.25">
      <c r="B1007" t="s">
        <v>149</v>
      </c>
      <c r="D1007" t="s">
        <v>696</v>
      </c>
      <c r="E1007" t="s">
        <v>149</v>
      </c>
      <c r="G1007">
        <v>0</v>
      </c>
    </row>
    <row r="1008" spans="2:7" x14ac:dyDescent="0.25">
      <c r="B1008" t="s">
        <v>149</v>
      </c>
      <c r="D1008" t="s">
        <v>696</v>
      </c>
      <c r="E1008" t="s">
        <v>149</v>
      </c>
      <c r="G1008">
        <v>0</v>
      </c>
    </row>
    <row r="1009" spans="2:7" x14ac:dyDescent="0.25">
      <c r="B1009" t="s">
        <v>149</v>
      </c>
      <c r="D1009" t="s">
        <v>696</v>
      </c>
      <c r="E1009" t="s">
        <v>149</v>
      </c>
      <c r="G1009">
        <v>0</v>
      </c>
    </row>
    <row r="1010" spans="2:7" x14ac:dyDescent="0.25">
      <c r="B1010" t="s">
        <v>149</v>
      </c>
      <c r="D1010" t="s">
        <v>696</v>
      </c>
      <c r="E1010" t="s">
        <v>149</v>
      </c>
      <c r="G1010">
        <v>0</v>
      </c>
    </row>
    <row r="1011" spans="2:7" x14ac:dyDescent="0.25">
      <c r="B1011" t="s">
        <v>149</v>
      </c>
      <c r="D1011" t="s">
        <v>696</v>
      </c>
      <c r="E1011" t="s">
        <v>149</v>
      </c>
      <c r="G1011">
        <v>0</v>
      </c>
    </row>
    <row r="1012" spans="2:7" x14ac:dyDescent="0.25">
      <c r="B1012" t="s">
        <v>149</v>
      </c>
      <c r="D1012" t="s">
        <v>696</v>
      </c>
      <c r="E1012" t="s">
        <v>149</v>
      </c>
      <c r="G1012">
        <v>0</v>
      </c>
    </row>
    <row r="1013" spans="2:7" x14ac:dyDescent="0.25">
      <c r="B1013" t="s">
        <v>149</v>
      </c>
      <c r="D1013" t="s">
        <v>696</v>
      </c>
      <c r="E1013" t="s">
        <v>149</v>
      </c>
      <c r="G1013">
        <v>0</v>
      </c>
    </row>
    <row r="1014" spans="2:7" x14ac:dyDescent="0.25">
      <c r="B1014" t="s">
        <v>149</v>
      </c>
      <c r="D1014" t="s">
        <v>696</v>
      </c>
      <c r="E1014" t="s">
        <v>149</v>
      </c>
      <c r="G1014">
        <v>0</v>
      </c>
    </row>
    <row r="1015" spans="2:7" x14ac:dyDescent="0.25">
      <c r="B1015" t="s">
        <v>149</v>
      </c>
      <c r="D1015" t="s">
        <v>696</v>
      </c>
      <c r="E1015" t="s">
        <v>149</v>
      </c>
      <c r="G1015">
        <v>0</v>
      </c>
    </row>
    <row r="1016" spans="2:7" x14ac:dyDescent="0.25">
      <c r="B1016" t="s">
        <v>149</v>
      </c>
      <c r="D1016" t="s">
        <v>696</v>
      </c>
      <c r="E1016" t="s">
        <v>149</v>
      </c>
      <c r="G1016">
        <v>0</v>
      </c>
    </row>
    <row r="1017" spans="2:7" x14ac:dyDescent="0.25">
      <c r="B1017" t="s">
        <v>149</v>
      </c>
      <c r="D1017" t="s">
        <v>696</v>
      </c>
      <c r="E1017" t="s">
        <v>149</v>
      </c>
      <c r="G1017">
        <v>0</v>
      </c>
    </row>
    <row r="1018" spans="2:7" x14ac:dyDescent="0.25">
      <c r="B1018" t="s">
        <v>149</v>
      </c>
      <c r="D1018" t="s">
        <v>696</v>
      </c>
      <c r="E1018" t="s">
        <v>149</v>
      </c>
      <c r="G1018">
        <v>0</v>
      </c>
    </row>
    <row r="1019" spans="2:7" x14ac:dyDescent="0.25">
      <c r="B1019" t="s">
        <v>149</v>
      </c>
      <c r="D1019" t="s">
        <v>696</v>
      </c>
      <c r="E1019" t="s">
        <v>149</v>
      </c>
      <c r="G1019">
        <v>0</v>
      </c>
    </row>
    <row r="1020" spans="2:7" x14ac:dyDescent="0.25">
      <c r="B1020" t="s">
        <v>149</v>
      </c>
      <c r="D1020" t="s">
        <v>696</v>
      </c>
      <c r="E1020" t="s">
        <v>149</v>
      </c>
      <c r="G1020">
        <v>0</v>
      </c>
    </row>
    <row r="1021" spans="2:7" x14ac:dyDescent="0.25">
      <c r="B1021" t="s">
        <v>149</v>
      </c>
      <c r="D1021" t="s">
        <v>696</v>
      </c>
      <c r="E1021" t="s">
        <v>149</v>
      </c>
      <c r="G1021">
        <v>0</v>
      </c>
    </row>
    <row r="1022" spans="2:7" x14ac:dyDescent="0.25">
      <c r="B1022" t="s">
        <v>149</v>
      </c>
      <c r="D1022" t="s">
        <v>696</v>
      </c>
      <c r="E1022" t="s">
        <v>149</v>
      </c>
      <c r="G1022">
        <v>0</v>
      </c>
    </row>
    <row r="1023" spans="2:7" x14ac:dyDescent="0.25">
      <c r="B1023" t="s">
        <v>149</v>
      </c>
      <c r="D1023" t="s">
        <v>696</v>
      </c>
      <c r="E1023" t="s">
        <v>149</v>
      </c>
      <c r="G1023">
        <v>0</v>
      </c>
    </row>
    <row r="1024" spans="2:7" x14ac:dyDescent="0.25">
      <c r="B1024" t="s">
        <v>149</v>
      </c>
      <c r="D1024" t="s">
        <v>696</v>
      </c>
      <c r="E1024" t="s">
        <v>149</v>
      </c>
      <c r="G1024">
        <v>0</v>
      </c>
    </row>
    <row r="1025" spans="2:7" x14ac:dyDescent="0.25">
      <c r="B1025" t="s">
        <v>149</v>
      </c>
      <c r="D1025" t="s">
        <v>696</v>
      </c>
      <c r="E1025" t="s">
        <v>149</v>
      </c>
      <c r="G1025">
        <v>0</v>
      </c>
    </row>
    <row r="1026" spans="2:7" x14ac:dyDescent="0.25">
      <c r="B1026" t="s">
        <v>149</v>
      </c>
      <c r="D1026" t="s">
        <v>696</v>
      </c>
      <c r="E1026" t="s">
        <v>149</v>
      </c>
      <c r="G1026">
        <v>0</v>
      </c>
    </row>
    <row r="1027" spans="2:7" x14ac:dyDescent="0.25">
      <c r="B1027" t="s">
        <v>149</v>
      </c>
      <c r="D1027" t="s">
        <v>696</v>
      </c>
      <c r="E1027" t="s">
        <v>149</v>
      </c>
      <c r="G1027">
        <v>0</v>
      </c>
    </row>
    <row r="1028" spans="2:7" x14ac:dyDescent="0.25">
      <c r="B1028" t="s">
        <v>149</v>
      </c>
      <c r="D1028" t="s">
        <v>696</v>
      </c>
      <c r="E1028" t="s">
        <v>149</v>
      </c>
      <c r="G1028">
        <v>0</v>
      </c>
    </row>
    <row r="1029" spans="2:7" x14ac:dyDescent="0.25">
      <c r="B1029" t="s">
        <v>149</v>
      </c>
      <c r="D1029" t="s">
        <v>696</v>
      </c>
      <c r="E1029" t="s">
        <v>149</v>
      </c>
      <c r="G1029">
        <v>0</v>
      </c>
    </row>
    <row r="1030" spans="2:7" x14ac:dyDescent="0.25">
      <c r="B1030" t="s">
        <v>149</v>
      </c>
      <c r="D1030" t="s">
        <v>696</v>
      </c>
      <c r="E1030" t="s">
        <v>149</v>
      </c>
      <c r="G1030">
        <v>0</v>
      </c>
    </row>
    <row r="1031" spans="2:7" x14ac:dyDescent="0.25">
      <c r="B1031" t="s">
        <v>149</v>
      </c>
      <c r="D1031" t="s">
        <v>696</v>
      </c>
      <c r="E1031" t="s">
        <v>149</v>
      </c>
      <c r="G1031">
        <v>0</v>
      </c>
    </row>
    <row r="1032" spans="2:7" x14ac:dyDescent="0.25">
      <c r="B1032" t="s">
        <v>149</v>
      </c>
      <c r="D1032" t="s">
        <v>696</v>
      </c>
      <c r="E1032" t="s">
        <v>149</v>
      </c>
      <c r="G1032">
        <v>0</v>
      </c>
    </row>
    <row r="1033" spans="2:7" x14ac:dyDescent="0.25">
      <c r="B1033" t="s">
        <v>149</v>
      </c>
      <c r="D1033" t="s">
        <v>696</v>
      </c>
      <c r="E1033" t="s">
        <v>149</v>
      </c>
      <c r="G1033">
        <v>0</v>
      </c>
    </row>
    <row r="1034" spans="2:7" x14ac:dyDescent="0.25">
      <c r="B1034" t="s">
        <v>149</v>
      </c>
      <c r="D1034" t="s">
        <v>696</v>
      </c>
      <c r="E1034" t="s">
        <v>149</v>
      </c>
      <c r="G1034">
        <v>0</v>
      </c>
    </row>
    <row r="1035" spans="2:7" x14ac:dyDescent="0.25">
      <c r="B1035" t="s">
        <v>149</v>
      </c>
      <c r="D1035" t="s">
        <v>696</v>
      </c>
      <c r="E1035" t="s">
        <v>149</v>
      </c>
      <c r="G1035">
        <v>0</v>
      </c>
    </row>
    <row r="1036" spans="2:7" x14ac:dyDescent="0.25">
      <c r="B1036" t="s">
        <v>149</v>
      </c>
      <c r="D1036" t="s">
        <v>696</v>
      </c>
      <c r="E1036" t="s">
        <v>149</v>
      </c>
      <c r="G1036">
        <v>0</v>
      </c>
    </row>
    <row r="1037" spans="2:7" x14ac:dyDescent="0.25">
      <c r="B1037" t="s">
        <v>149</v>
      </c>
      <c r="D1037" t="s">
        <v>696</v>
      </c>
      <c r="E1037" t="s">
        <v>149</v>
      </c>
      <c r="G1037">
        <v>0</v>
      </c>
    </row>
    <row r="1038" spans="2:7" x14ac:dyDescent="0.25">
      <c r="B1038" t="s">
        <v>149</v>
      </c>
      <c r="D1038" t="s">
        <v>696</v>
      </c>
      <c r="E1038" t="s">
        <v>149</v>
      </c>
      <c r="G1038">
        <v>0</v>
      </c>
    </row>
    <row r="1039" spans="2:7" x14ac:dyDescent="0.25">
      <c r="B1039" t="s">
        <v>149</v>
      </c>
      <c r="D1039" t="s">
        <v>696</v>
      </c>
      <c r="E1039" t="s">
        <v>149</v>
      </c>
      <c r="G1039">
        <v>0</v>
      </c>
    </row>
    <row r="1040" spans="2:7" x14ac:dyDescent="0.25">
      <c r="B1040" t="s">
        <v>149</v>
      </c>
      <c r="D1040" t="s">
        <v>696</v>
      </c>
      <c r="E1040" t="s">
        <v>149</v>
      </c>
      <c r="G1040">
        <v>0</v>
      </c>
    </row>
    <row r="1041" spans="2:7" x14ac:dyDescent="0.25">
      <c r="B1041" t="s">
        <v>149</v>
      </c>
      <c r="D1041" t="s">
        <v>696</v>
      </c>
      <c r="E1041" t="s">
        <v>149</v>
      </c>
      <c r="G1041">
        <v>0</v>
      </c>
    </row>
    <row r="1042" spans="2:7" x14ac:dyDescent="0.25">
      <c r="B1042" t="s">
        <v>149</v>
      </c>
      <c r="D1042" t="s">
        <v>696</v>
      </c>
      <c r="E1042" t="s">
        <v>149</v>
      </c>
      <c r="G1042">
        <v>0</v>
      </c>
    </row>
    <row r="1043" spans="2:7" x14ac:dyDescent="0.25">
      <c r="B1043" t="s">
        <v>149</v>
      </c>
      <c r="D1043" t="s">
        <v>696</v>
      </c>
      <c r="E1043" t="s">
        <v>149</v>
      </c>
      <c r="G1043">
        <v>0</v>
      </c>
    </row>
    <row r="1044" spans="2:7" x14ac:dyDescent="0.25">
      <c r="B1044" t="s">
        <v>149</v>
      </c>
      <c r="D1044" t="s">
        <v>696</v>
      </c>
      <c r="E1044" t="s">
        <v>149</v>
      </c>
      <c r="G1044">
        <v>0</v>
      </c>
    </row>
    <row r="1045" spans="2:7" x14ac:dyDescent="0.25">
      <c r="B1045" t="s">
        <v>149</v>
      </c>
      <c r="D1045" t="s">
        <v>696</v>
      </c>
      <c r="E1045" t="s">
        <v>149</v>
      </c>
      <c r="G1045">
        <v>0</v>
      </c>
    </row>
    <row r="1046" spans="2:7" x14ac:dyDescent="0.25">
      <c r="B1046" t="s">
        <v>149</v>
      </c>
      <c r="D1046" t="s">
        <v>696</v>
      </c>
      <c r="E1046" t="s">
        <v>149</v>
      </c>
      <c r="G1046">
        <v>0</v>
      </c>
    </row>
    <row r="1047" spans="2:7" x14ac:dyDescent="0.25">
      <c r="B1047" t="s">
        <v>149</v>
      </c>
      <c r="D1047" t="s">
        <v>696</v>
      </c>
      <c r="E1047" t="s">
        <v>149</v>
      </c>
      <c r="G1047">
        <v>0</v>
      </c>
    </row>
    <row r="1048" spans="2:7" x14ac:dyDescent="0.25">
      <c r="B1048" t="s">
        <v>149</v>
      </c>
      <c r="D1048" t="s">
        <v>696</v>
      </c>
      <c r="E1048" t="s">
        <v>149</v>
      </c>
      <c r="G1048">
        <v>0</v>
      </c>
    </row>
    <row r="1049" spans="2:7" x14ac:dyDescent="0.25">
      <c r="B1049" t="s">
        <v>149</v>
      </c>
      <c r="D1049" t="s">
        <v>696</v>
      </c>
      <c r="E1049" t="s">
        <v>149</v>
      </c>
      <c r="G1049">
        <v>0</v>
      </c>
    </row>
    <row r="1050" spans="2:7" x14ac:dyDescent="0.25">
      <c r="B1050" t="s">
        <v>149</v>
      </c>
      <c r="D1050" t="s">
        <v>696</v>
      </c>
      <c r="E1050" t="s">
        <v>149</v>
      </c>
      <c r="G1050">
        <v>0</v>
      </c>
    </row>
    <row r="1051" spans="2:7" x14ac:dyDescent="0.25">
      <c r="B1051" t="s">
        <v>149</v>
      </c>
      <c r="D1051" t="s">
        <v>696</v>
      </c>
      <c r="E1051" t="s">
        <v>149</v>
      </c>
      <c r="G1051">
        <v>0</v>
      </c>
    </row>
    <row r="1052" spans="2:7" x14ac:dyDescent="0.25">
      <c r="B1052" t="s">
        <v>149</v>
      </c>
      <c r="D1052" t="s">
        <v>696</v>
      </c>
      <c r="E1052" t="s">
        <v>149</v>
      </c>
      <c r="G1052">
        <v>0</v>
      </c>
    </row>
    <row r="1053" spans="2:7" x14ac:dyDescent="0.25">
      <c r="B1053" t="s">
        <v>149</v>
      </c>
      <c r="D1053" t="s">
        <v>696</v>
      </c>
      <c r="E1053" t="s">
        <v>149</v>
      </c>
      <c r="G1053">
        <v>0</v>
      </c>
    </row>
    <row r="1054" spans="2:7" x14ac:dyDescent="0.25">
      <c r="B1054" t="s">
        <v>149</v>
      </c>
      <c r="D1054" t="s">
        <v>696</v>
      </c>
      <c r="E1054" t="s">
        <v>149</v>
      </c>
      <c r="G1054">
        <v>0</v>
      </c>
    </row>
    <row r="1055" spans="2:7" x14ac:dyDescent="0.25">
      <c r="B1055" t="s">
        <v>149</v>
      </c>
      <c r="D1055" t="s">
        <v>696</v>
      </c>
      <c r="E1055" t="s">
        <v>149</v>
      </c>
      <c r="G1055">
        <v>0</v>
      </c>
    </row>
    <row r="1056" spans="2:7" x14ac:dyDescent="0.25">
      <c r="B1056" t="s">
        <v>149</v>
      </c>
      <c r="D1056" t="s">
        <v>696</v>
      </c>
      <c r="E1056" t="s">
        <v>149</v>
      </c>
      <c r="G1056">
        <v>0</v>
      </c>
    </row>
    <row r="1057" spans="2:7" x14ac:dyDescent="0.25">
      <c r="B1057" t="s">
        <v>149</v>
      </c>
      <c r="D1057" t="s">
        <v>696</v>
      </c>
      <c r="E1057" t="s">
        <v>149</v>
      </c>
      <c r="G1057">
        <v>0</v>
      </c>
    </row>
    <row r="1058" spans="2:7" x14ac:dyDescent="0.25">
      <c r="B1058" t="s">
        <v>149</v>
      </c>
      <c r="D1058" t="s">
        <v>696</v>
      </c>
      <c r="E1058" t="s">
        <v>149</v>
      </c>
      <c r="G1058">
        <v>0</v>
      </c>
    </row>
    <row r="1059" spans="2:7" x14ac:dyDescent="0.25">
      <c r="B1059" t="s">
        <v>149</v>
      </c>
      <c r="D1059" t="s">
        <v>696</v>
      </c>
      <c r="E1059" t="s">
        <v>149</v>
      </c>
      <c r="G1059">
        <v>0</v>
      </c>
    </row>
    <row r="1060" spans="2:7" x14ac:dyDescent="0.25">
      <c r="B1060" t="s">
        <v>149</v>
      </c>
      <c r="D1060" t="s">
        <v>696</v>
      </c>
      <c r="E1060" t="s">
        <v>149</v>
      </c>
      <c r="G1060">
        <v>0</v>
      </c>
    </row>
    <row r="1061" spans="2:7" x14ac:dyDescent="0.25">
      <c r="B1061" t="s">
        <v>149</v>
      </c>
      <c r="D1061" t="s">
        <v>696</v>
      </c>
      <c r="E1061" t="s">
        <v>149</v>
      </c>
      <c r="G1061">
        <v>0</v>
      </c>
    </row>
    <row r="1062" spans="2:7" x14ac:dyDescent="0.25">
      <c r="B1062" t="s">
        <v>149</v>
      </c>
      <c r="D1062" t="s">
        <v>696</v>
      </c>
      <c r="E1062" t="s">
        <v>149</v>
      </c>
      <c r="G1062">
        <v>0</v>
      </c>
    </row>
    <row r="1063" spans="2:7" x14ac:dyDescent="0.25">
      <c r="B1063" t="s">
        <v>149</v>
      </c>
      <c r="D1063" t="s">
        <v>696</v>
      </c>
      <c r="E1063" t="s">
        <v>149</v>
      </c>
      <c r="G1063">
        <v>0</v>
      </c>
    </row>
    <row r="1064" spans="2:7" x14ac:dyDescent="0.25">
      <c r="B1064" t="s">
        <v>149</v>
      </c>
      <c r="D1064" t="s">
        <v>696</v>
      </c>
      <c r="E1064" t="s">
        <v>149</v>
      </c>
      <c r="G1064">
        <v>0</v>
      </c>
    </row>
    <row r="1065" spans="2:7" x14ac:dyDescent="0.25">
      <c r="B1065" t="s">
        <v>149</v>
      </c>
      <c r="D1065" t="s">
        <v>696</v>
      </c>
      <c r="E1065" t="s">
        <v>149</v>
      </c>
      <c r="G1065">
        <v>0</v>
      </c>
    </row>
    <row r="1066" spans="2:7" x14ac:dyDescent="0.25">
      <c r="B1066" t="s">
        <v>149</v>
      </c>
      <c r="D1066" t="s">
        <v>696</v>
      </c>
      <c r="E1066" t="s">
        <v>149</v>
      </c>
      <c r="G1066">
        <v>0</v>
      </c>
    </row>
    <row r="1067" spans="2:7" x14ac:dyDescent="0.25">
      <c r="B1067" t="s">
        <v>149</v>
      </c>
      <c r="D1067" t="s">
        <v>696</v>
      </c>
      <c r="E1067" t="s">
        <v>149</v>
      </c>
      <c r="G1067">
        <v>0</v>
      </c>
    </row>
    <row r="1068" spans="2:7" x14ac:dyDescent="0.25">
      <c r="B1068" t="s">
        <v>149</v>
      </c>
      <c r="D1068" t="s">
        <v>696</v>
      </c>
      <c r="E1068" t="s">
        <v>149</v>
      </c>
      <c r="G1068">
        <v>0</v>
      </c>
    </row>
    <row r="1069" spans="2:7" x14ac:dyDescent="0.25">
      <c r="B1069" t="s">
        <v>149</v>
      </c>
      <c r="D1069" t="s">
        <v>696</v>
      </c>
      <c r="E1069" t="s">
        <v>149</v>
      </c>
      <c r="G1069">
        <v>0</v>
      </c>
    </row>
    <row r="1070" spans="2:7" x14ac:dyDescent="0.25">
      <c r="B1070" t="s">
        <v>149</v>
      </c>
      <c r="D1070" t="s">
        <v>696</v>
      </c>
      <c r="E1070" t="s">
        <v>149</v>
      </c>
      <c r="G1070">
        <v>0</v>
      </c>
    </row>
    <row r="1071" spans="2:7" x14ac:dyDescent="0.25">
      <c r="B1071" t="s">
        <v>149</v>
      </c>
      <c r="D1071" t="s">
        <v>696</v>
      </c>
      <c r="E1071" t="s">
        <v>149</v>
      </c>
      <c r="G1071">
        <v>0</v>
      </c>
    </row>
    <row r="1072" spans="2:7" x14ac:dyDescent="0.25">
      <c r="B1072" t="s">
        <v>149</v>
      </c>
      <c r="D1072" t="s">
        <v>696</v>
      </c>
      <c r="E1072" t="s">
        <v>149</v>
      </c>
      <c r="G1072">
        <v>0</v>
      </c>
    </row>
    <row r="1073" spans="2:7" x14ac:dyDescent="0.25">
      <c r="B1073" t="s">
        <v>149</v>
      </c>
      <c r="D1073" t="s">
        <v>696</v>
      </c>
      <c r="E1073" t="s">
        <v>149</v>
      </c>
      <c r="G1073">
        <v>0</v>
      </c>
    </row>
    <row r="1074" spans="2:7" x14ac:dyDescent="0.25">
      <c r="B1074" t="s">
        <v>149</v>
      </c>
      <c r="D1074" t="s">
        <v>696</v>
      </c>
      <c r="E1074" t="s">
        <v>149</v>
      </c>
      <c r="G1074">
        <v>0</v>
      </c>
    </row>
    <row r="1075" spans="2:7" x14ac:dyDescent="0.25">
      <c r="B1075" t="s">
        <v>149</v>
      </c>
      <c r="D1075" t="s">
        <v>696</v>
      </c>
      <c r="E1075" t="s">
        <v>149</v>
      </c>
      <c r="G1075">
        <v>0</v>
      </c>
    </row>
    <row r="1076" spans="2:7" x14ac:dyDescent="0.25">
      <c r="B1076" t="s">
        <v>149</v>
      </c>
      <c r="D1076" t="s">
        <v>696</v>
      </c>
      <c r="E1076" t="s">
        <v>149</v>
      </c>
      <c r="G1076">
        <v>0</v>
      </c>
    </row>
    <row r="1077" spans="2:7" x14ac:dyDescent="0.25">
      <c r="B1077" t="s">
        <v>149</v>
      </c>
      <c r="D1077" t="s">
        <v>696</v>
      </c>
      <c r="E1077" t="s">
        <v>149</v>
      </c>
      <c r="G1077">
        <v>0</v>
      </c>
    </row>
    <row r="1078" spans="2:7" x14ac:dyDescent="0.25">
      <c r="B1078" t="s">
        <v>149</v>
      </c>
      <c r="D1078" t="s">
        <v>696</v>
      </c>
      <c r="E1078" t="s">
        <v>149</v>
      </c>
      <c r="G1078">
        <v>0</v>
      </c>
    </row>
    <row r="1079" spans="2:7" x14ac:dyDescent="0.25">
      <c r="B1079" t="s">
        <v>149</v>
      </c>
      <c r="D1079" t="s">
        <v>696</v>
      </c>
      <c r="E1079" t="s">
        <v>149</v>
      </c>
      <c r="G1079">
        <v>0</v>
      </c>
    </row>
    <row r="1080" spans="2:7" x14ac:dyDescent="0.25">
      <c r="B1080" t="s">
        <v>149</v>
      </c>
      <c r="D1080" t="s">
        <v>696</v>
      </c>
      <c r="E1080" t="s">
        <v>149</v>
      </c>
      <c r="G1080">
        <v>0</v>
      </c>
    </row>
    <row r="1081" spans="2:7" x14ac:dyDescent="0.25">
      <c r="B1081" t="s">
        <v>149</v>
      </c>
      <c r="D1081" t="s">
        <v>696</v>
      </c>
      <c r="E1081" t="s">
        <v>149</v>
      </c>
      <c r="G1081">
        <v>0</v>
      </c>
    </row>
    <row r="1082" spans="2:7" x14ac:dyDescent="0.25">
      <c r="B1082" t="s">
        <v>149</v>
      </c>
      <c r="D1082" t="s">
        <v>696</v>
      </c>
      <c r="E1082" t="s">
        <v>149</v>
      </c>
      <c r="G1082">
        <v>0</v>
      </c>
    </row>
    <row r="1083" spans="2:7" x14ac:dyDescent="0.25">
      <c r="B1083" t="s">
        <v>149</v>
      </c>
      <c r="D1083" t="s">
        <v>696</v>
      </c>
      <c r="E1083" t="s">
        <v>149</v>
      </c>
      <c r="G1083">
        <v>0</v>
      </c>
    </row>
    <row r="1084" spans="2:7" x14ac:dyDescent="0.25">
      <c r="B1084" t="s">
        <v>149</v>
      </c>
      <c r="D1084" t="s">
        <v>696</v>
      </c>
      <c r="E1084" t="s">
        <v>149</v>
      </c>
      <c r="G1084">
        <v>0</v>
      </c>
    </row>
    <row r="1085" spans="2:7" x14ac:dyDescent="0.25">
      <c r="B1085" t="s">
        <v>149</v>
      </c>
      <c r="D1085" t="s">
        <v>696</v>
      </c>
      <c r="E1085" t="s">
        <v>149</v>
      </c>
      <c r="G1085">
        <v>0</v>
      </c>
    </row>
    <row r="1086" spans="2:7" x14ac:dyDescent="0.25">
      <c r="B1086" t="s">
        <v>149</v>
      </c>
      <c r="D1086" t="s">
        <v>696</v>
      </c>
      <c r="E1086" t="s">
        <v>149</v>
      </c>
      <c r="G1086">
        <v>0</v>
      </c>
    </row>
    <row r="1087" spans="2:7" x14ac:dyDescent="0.25">
      <c r="B1087" t="s">
        <v>149</v>
      </c>
      <c r="D1087" t="s">
        <v>696</v>
      </c>
      <c r="E1087" t="s">
        <v>149</v>
      </c>
      <c r="G1087">
        <v>0</v>
      </c>
    </row>
    <row r="1088" spans="2:7" x14ac:dyDescent="0.25">
      <c r="B1088" t="s">
        <v>149</v>
      </c>
      <c r="D1088" t="s">
        <v>696</v>
      </c>
      <c r="E1088" t="s">
        <v>149</v>
      </c>
      <c r="G1088">
        <v>0</v>
      </c>
    </row>
    <row r="1089" spans="2:7" x14ac:dyDescent="0.25">
      <c r="B1089" t="s">
        <v>149</v>
      </c>
      <c r="D1089" t="s">
        <v>696</v>
      </c>
      <c r="E1089" t="s">
        <v>149</v>
      </c>
      <c r="G1089">
        <v>0</v>
      </c>
    </row>
    <row r="1090" spans="2:7" x14ac:dyDescent="0.25">
      <c r="B1090" t="s">
        <v>149</v>
      </c>
      <c r="D1090" t="s">
        <v>696</v>
      </c>
      <c r="E1090" t="s">
        <v>149</v>
      </c>
      <c r="G1090">
        <v>0</v>
      </c>
    </row>
    <row r="1091" spans="2:7" x14ac:dyDescent="0.25">
      <c r="B1091" t="s">
        <v>149</v>
      </c>
      <c r="D1091" t="s">
        <v>696</v>
      </c>
      <c r="E1091" t="s">
        <v>149</v>
      </c>
      <c r="G1091">
        <v>0</v>
      </c>
    </row>
    <row r="1092" spans="2:7" x14ac:dyDescent="0.25">
      <c r="B1092" t="s">
        <v>149</v>
      </c>
      <c r="D1092" t="s">
        <v>696</v>
      </c>
      <c r="E1092" t="s">
        <v>149</v>
      </c>
      <c r="G1092">
        <v>0</v>
      </c>
    </row>
    <row r="1093" spans="2:7" x14ac:dyDescent="0.25">
      <c r="B1093" t="s">
        <v>149</v>
      </c>
      <c r="D1093" t="s">
        <v>696</v>
      </c>
      <c r="E1093" t="s">
        <v>149</v>
      </c>
      <c r="G1093">
        <v>0</v>
      </c>
    </row>
    <row r="1094" spans="2:7" x14ac:dyDescent="0.25">
      <c r="B1094" t="s">
        <v>149</v>
      </c>
      <c r="D1094" t="s">
        <v>696</v>
      </c>
      <c r="E1094" t="s">
        <v>149</v>
      </c>
      <c r="G1094">
        <v>0</v>
      </c>
    </row>
    <row r="1095" spans="2:7" x14ac:dyDescent="0.25">
      <c r="B1095" t="s">
        <v>149</v>
      </c>
      <c r="D1095" t="s">
        <v>696</v>
      </c>
      <c r="E1095" t="s">
        <v>149</v>
      </c>
      <c r="G1095">
        <v>0</v>
      </c>
    </row>
    <row r="1096" spans="2:7" x14ac:dyDescent="0.25">
      <c r="B1096" t="s">
        <v>149</v>
      </c>
      <c r="D1096" t="s">
        <v>696</v>
      </c>
      <c r="E1096" t="s">
        <v>149</v>
      </c>
      <c r="G1096">
        <v>0</v>
      </c>
    </row>
    <row r="1097" spans="2:7" x14ac:dyDescent="0.25">
      <c r="B1097" t="s">
        <v>149</v>
      </c>
      <c r="D1097" t="s">
        <v>696</v>
      </c>
      <c r="E1097" t="s">
        <v>149</v>
      </c>
      <c r="G1097">
        <v>0</v>
      </c>
    </row>
    <row r="1098" spans="2:7" x14ac:dyDescent="0.25">
      <c r="B1098" t="s">
        <v>149</v>
      </c>
      <c r="D1098" t="s">
        <v>696</v>
      </c>
      <c r="E1098" t="s">
        <v>149</v>
      </c>
      <c r="G1098">
        <v>0</v>
      </c>
    </row>
    <row r="1099" spans="2:7" x14ac:dyDescent="0.25">
      <c r="B1099" t="s">
        <v>149</v>
      </c>
      <c r="D1099" t="s">
        <v>696</v>
      </c>
      <c r="E1099" t="s">
        <v>149</v>
      </c>
      <c r="G1099">
        <v>0</v>
      </c>
    </row>
    <row r="1100" spans="2:7" x14ac:dyDescent="0.25">
      <c r="B1100" t="s">
        <v>149</v>
      </c>
      <c r="D1100" t="s">
        <v>696</v>
      </c>
      <c r="E1100" t="s">
        <v>149</v>
      </c>
      <c r="G1100">
        <v>0</v>
      </c>
    </row>
    <row r="1101" spans="2:7" x14ac:dyDescent="0.25">
      <c r="B1101" t="s">
        <v>149</v>
      </c>
      <c r="D1101" t="s">
        <v>696</v>
      </c>
      <c r="E1101" t="s">
        <v>149</v>
      </c>
      <c r="G1101">
        <v>0</v>
      </c>
    </row>
    <row r="1102" spans="2:7" x14ac:dyDescent="0.25">
      <c r="B1102" t="s">
        <v>149</v>
      </c>
      <c r="D1102" t="s">
        <v>696</v>
      </c>
      <c r="E1102" t="s">
        <v>149</v>
      </c>
      <c r="G1102">
        <v>0</v>
      </c>
    </row>
    <row r="1103" spans="2:7" x14ac:dyDescent="0.25">
      <c r="B1103" t="s">
        <v>149</v>
      </c>
      <c r="D1103" t="s">
        <v>696</v>
      </c>
      <c r="E1103" t="s">
        <v>149</v>
      </c>
      <c r="G1103">
        <v>0</v>
      </c>
    </row>
    <row r="1104" spans="2:7" x14ac:dyDescent="0.25">
      <c r="B1104" t="s">
        <v>149</v>
      </c>
      <c r="D1104" t="s">
        <v>696</v>
      </c>
      <c r="E1104" t="s">
        <v>149</v>
      </c>
      <c r="G1104">
        <v>0</v>
      </c>
    </row>
    <row r="1105" spans="2:7" x14ac:dyDescent="0.25">
      <c r="B1105" t="s">
        <v>149</v>
      </c>
      <c r="D1105" t="s">
        <v>696</v>
      </c>
      <c r="E1105" t="s">
        <v>149</v>
      </c>
      <c r="G1105">
        <v>0</v>
      </c>
    </row>
    <row r="1106" spans="2:7" x14ac:dyDescent="0.25">
      <c r="B1106" t="s">
        <v>149</v>
      </c>
      <c r="D1106" t="s">
        <v>696</v>
      </c>
      <c r="E1106" t="s">
        <v>149</v>
      </c>
      <c r="G1106">
        <v>0</v>
      </c>
    </row>
    <row r="1107" spans="2:7" x14ac:dyDescent="0.25">
      <c r="B1107" t="s">
        <v>149</v>
      </c>
      <c r="D1107" t="s">
        <v>696</v>
      </c>
      <c r="E1107" t="s">
        <v>149</v>
      </c>
      <c r="G1107">
        <v>0</v>
      </c>
    </row>
    <row r="1108" spans="2:7" x14ac:dyDescent="0.25">
      <c r="B1108" t="s">
        <v>149</v>
      </c>
      <c r="D1108" t="s">
        <v>696</v>
      </c>
      <c r="E1108" t="s">
        <v>149</v>
      </c>
      <c r="G1108">
        <v>0</v>
      </c>
    </row>
    <row r="1109" spans="2:7" x14ac:dyDescent="0.25">
      <c r="B1109" t="s">
        <v>149</v>
      </c>
      <c r="D1109" t="s">
        <v>696</v>
      </c>
      <c r="E1109" t="s">
        <v>149</v>
      </c>
      <c r="G1109">
        <v>0</v>
      </c>
    </row>
    <row r="1110" spans="2:7" x14ac:dyDescent="0.25">
      <c r="B1110" t="s">
        <v>149</v>
      </c>
      <c r="D1110" t="s">
        <v>696</v>
      </c>
      <c r="E1110" t="s">
        <v>149</v>
      </c>
      <c r="G1110">
        <v>0</v>
      </c>
    </row>
    <row r="1111" spans="2:7" x14ac:dyDescent="0.25">
      <c r="B1111" t="s">
        <v>149</v>
      </c>
      <c r="D1111" t="s">
        <v>696</v>
      </c>
      <c r="E1111" t="s">
        <v>149</v>
      </c>
      <c r="G1111">
        <v>0</v>
      </c>
    </row>
    <row r="1112" spans="2:7" x14ac:dyDescent="0.25">
      <c r="B1112" t="s">
        <v>149</v>
      </c>
      <c r="D1112" t="s">
        <v>696</v>
      </c>
      <c r="E1112" t="s">
        <v>149</v>
      </c>
      <c r="G1112">
        <v>0</v>
      </c>
    </row>
    <row r="1113" spans="2:7" x14ac:dyDescent="0.25">
      <c r="B1113" t="s">
        <v>149</v>
      </c>
      <c r="D1113" t="s">
        <v>696</v>
      </c>
      <c r="E1113" t="s">
        <v>149</v>
      </c>
      <c r="G1113">
        <v>0</v>
      </c>
    </row>
    <row r="1114" spans="2:7" x14ac:dyDescent="0.25">
      <c r="B1114" t="s">
        <v>149</v>
      </c>
      <c r="D1114" t="s">
        <v>696</v>
      </c>
      <c r="E1114" t="s">
        <v>149</v>
      </c>
      <c r="G1114">
        <v>0</v>
      </c>
    </row>
    <row r="1115" spans="2:7" x14ac:dyDescent="0.25">
      <c r="B1115" t="s">
        <v>149</v>
      </c>
      <c r="D1115" t="s">
        <v>696</v>
      </c>
      <c r="E1115" t="s">
        <v>149</v>
      </c>
      <c r="G1115">
        <v>0</v>
      </c>
    </row>
    <row r="1116" spans="2:7" x14ac:dyDescent="0.25">
      <c r="B1116" t="s">
        <v>149</v>
      </c>
      <c r="D1116" t="s">
        <v>696</v>
      </c>
      <c r="E1116" t="s">
        <v>149</v>
      </c>
      <c r="G1116">
        <v>0</v>
      </c>
    </row>
    <row r="1117" spans="2:7" x14ac:dyDescent="0.25">
      <c r="B1117" t="s">
        <v>149</v>
      </c>
      <c r="D1117" t="s">
        <v>696</v>
      </c>
      <c r="E1117" t="s">
        <v>149</v>
      </c>
      <c r="G1117">
        <v>0</v>
      </c>
    </row>
    <row r="1118" spans="2:7" x14ac:dyDescent="0.25">
      <c r="B1118" t="s">
        <v>149</v>
      </c>
      <c r="D1118" t="s">
        <v>696</v>
      </c>
      <c r="E1118" t="s">
        <v>149</v>
      </c>
      <c r="G1118">
        <v>0</v>
      </c>
    </row>
    <row r="1119" spans="2:7" x14ac:dyDescent="0.25">
      <c r="B1119" t="s">
        <v>149</v>
      </c>
      <c r="D1119" t="s">
        <v>696</v>
      </c>
      <c r="E1119" t="s">
        <v>149</v>
      </c>
      <c r="G1119">
        <v>0</v>
      </c>
    </row>
    <row r="1120" spans="2:7" x14ac:dyDescent="0.25">
      <c r="B1120" t="s">
        <v>149</v>
      </c>
      <c r="D1120" t="s">
        <v>696</v>
      </c>
      <c r="E1120" t="s">
        <v>149</v>
      </c>
      <c r="G1120">
        <v>0</v>
      </c>
    </row>
    <row r="1121" spans="2:7" x14ac:dyDescent="0.25">
      <c r="B1121" t="s">
        <v>149</v>
      </c>
      <c r="D1121" t="s">
        <v>696</v>
      </c>
      <c r="E1121" t="s">
        <v>149</v>
      </c>
      <c r="G1121">
        <v>0</v>
      </c>
    </row>
    <row r="1122" spans="2:7" x14ac:dyDescent="0.25">
      <c r="B1122" t="s">
        <v>149</v>
      </c>
      <c r="D1122" t="s">
        <v>696</v>
      </c>
      <c r="E1122" t="s">
        <v>149</v>
      </c>
      <c r="G1122">
        <v>0</v>
      </c>
    </row>
    <row r="1123" spans="2:7" x14ac:dyDescent="0.25">
      <c r="B1123" t="s">
        <v>149</v>
      </c>
      <c r="D1123" t="s">
        <v>696</v>
      </c>
      <c r="E1123" t="s">
        <v>149</v>
      </c>
      <c r="G1123">
        <v>0</v>
      </c>
    </row>
    <row r="1124" spans="2:7" x14ac:dyDescent="0.25">
      <c r="B1124" t="s">
        <v>149</v>
      </c>
      <c r="D1124" t="s">
        <v>696</v>
      </c>
      <c r="E1124" t="s">
        <v>149</v>
      </c>
      <c r="G1124">
        <v>0</v>
      </c>
    </row>
    <row r="1125" spans="2:7" x14ac:dyDescent="0.25">
      <c r="B1125" t="s">
        <v>149</v>
      </c>
      <c r="D1125" t="s">
        <v>696</v>
      </c>
      <c r="E1125" t="s">
        <v>149</v>
      </c>
      <c r="G1125">
        <v>0</v>
      </c>
    </row>
    <row r="1126" spans="2:7" x14ac:dyDescent="0.25">
      <c r="B1126" t="s">
        <v>149</v>
      </c>
      <c r="D1126" t="s">
        <v>696</v>
      </c>
      <c r="E1126" t="s">
        <v>149</v>
      </c>
      <c r="G1126">
        <v>0</v>
      </c>
    </row>
    <row r="1127" spans="2:7" x14ac:dyDescent="0.25">
      <c r="B1127" t="s">
        <v>149</v>
      </c>
      <c r="D1127" t="s">
        <v>696</v>
      </c>
      <c r="E1127" t="s">
        <v>149</v>
      </c>
      <c r="G1127">
        <v>0</v>
      </c>
    </row>
    <row r="1128" spans="2:7" x14ac:dyDescent="0.25">
      <c r="B1128" t="s">
        <v>149</v>
      </c>
      <c r="D1128" t="s">
        <v>696</v>
      </c>
      <c r="E1128" t="s">
        <v>149</v>
      </c>
      <c r="G1128">
        <v>0</v>
      </c>
    </row>
    <row r="1129" spans="2:7" x14ac:dyDescent="0.25">
      <c r="B1129" t="s">
        <v>149</v>
      </c>
      <c r="D1129" t="s">
        <v>696</v>
      </c>
      <c r="E1129" t="s">
        <v>149</v>
      </c>
      <c r="G1129">
        <v>0</v>
      </c>
    </row>
    <row r="1130" spans="2:7" x14ac:dyDescent="0.25">
      <c r="B1130" t="s">
        <v>149</v>
      </c>
      <c r="D1130" t="s">
        <v>696</v>
      </c>
      <c r="E1130" t="s">
        <v>149</v>
      </c>
      <c r="G1130">
        <v>0</v>
      </c>
    </row>
    <row r="1131" spans="2:7" x14ac:dyDescent="0.25">
      <c r="B1131" t="s">
        <v>149</v>
      </c>
      <c r="D1131" t="s">
        <v>696</v>
      </c>
      <c r="E1131" t="s">
        <v>149</v>
      </c>
      <c r="G1131">
        <v>0</v>
      </c>
    </row>
    <row r="1132" spans="2:7" x14ac:dyDescent="0.25">
      <c r="B1132" t="s">
        <v>149</v>
      </c>
      <c r="D1132" t="s">
        <v>696</v>
      </c>
      <c r="E1132" t="s">
        <v>149</v>
      </c>
      <c r="G1132">
        <v>0</v>
      </c>
    </row>
    <row r="1133" spans="2:7" x14ac:dyDescent="0.25">
      <c r="B1133" t="s">
        <v>149</v>
      </c>
      <c r="D1133" t="s">
        <v>696</v>
      </c>
      <c r="E1133" t="s">
        <v>149</v>
      </c>
      <c r="G1133">
        <v>0</v>
      </c>
    </row>
    <row r="1134" spans="2:7" x14ac:dyDescent="0.25">
      <c r="B1134" t="s">
        <v>149</v>
      </c>
      <c r="D1134" t="s">
        <v>696</v>
      </c>
      <c r="E1134" t="s">
        <v>149</v>
      </c>
      <c r="G1134">
        <v>0</v>
      </c>
    </row>
    <row r="1135" spans="2:7" x14ac:dyDescent="0.25">
      <c r="B1135" t="s">
        <v>149</v>
      </c>
      <c r="D1135" t="s">
        <v>696</v>
      </c>
      <c r="E1135" t="s">
        <v>149</v>
      </c>
      <c r="G1135">
        <v>0</v>
      </c>
    </row>
    <row r="1136" spans="2:7" x14ac:dyDescent="0.25">
      <c r="B1136" t="s">
        <v>149</v>
      </c>
      <c r="D1136" t="s">
        <v>696</v>
      </c>
      <c r="E1136" t="s">
        <v>149</v>
      </c>
      <c r="G1136">
        <v>0</v>
      </c>
    </row>
    <row r="1137" spans="2:7" x14ac:dyDescent="0.25">
      <c r="B1137" t="s">
        <v>149</v>
      </c>
      <c r="D1137" t="s">
        <v>696</v>
      </c>
      <c r="E1137" t="s">
        <v>149</v>
      </c>
      <c r="G1137">
        <v>0</v>
      </c>
    </row>
    <row r="1138" spans="2:7" x14ac:dyDescent="0.25">
      <c r="B1138" t="s">
        <v>149</v>
      </c>
      <c r="D1138" t="s">
        <v>696</v>
      </c>
      <c r="E1138" t="s">
        <v>149</v>
      </c>
      <c r="G1138">
        <v>0</v>
      </c>
    </row>
    <row r="1139" spans="2:7" x14ac:dyDescent="0.25">
      <c r="B1139" t="s">
        <v>149</v>
      </c>
      <c r="D1139" t="s">
        <v>696</v>
      </c>
      <c r="E1139" t="s">
        <v>149</v>
      </c>
      <c r="G1139">
        <v>0</v>
      </c>
    </row>
    <row r="1140" spans="2:7" x14ac:dyDescent="0.25">
      <c r="B1140" t="s">
        <v>149</v>
      </c>
      <c r="D1140" t="s">
        <v>696</v>
      </c>
      <c r="E1140" t="s">
        <v>149</v>
      </c>
      <c r="G1140">
        <v>0</v>
      </c>
    </row>
    <row r="1141" spans="2:7" x14ac:dyDescent="0.25">
      <c r="B1141" t="s">
        <v>149</v>
      </c>
      <c r="D1141" t="s">
        <v>696</v>
      </c>
      <c r="E1141" t="s">
        <v>149</v>
      </c>
      <c r="G1141">
        <v>0</v>
      </c>
    </row>
    <row r="1142" spans="2:7" x14ac:dyDescent="0.25">
      <c r="B1142" t="s">
        <v>149</v>
      </c>
      <c r="D1142" t="s">
        <v>696</v>
      </c>
      <c r="E1142" t="s">
        <v>149</v>
      </c>
      <c r="G1142">
        <v>0</v>
      </c>
    </row>
    <row r="1143" spans="2:7" x14ac:dyDescent="0.25">
      <c r="B1143" t="s">
        <v>149</v>
      </c>
      <c r="D1143" t="s">
        <v>696</v>
      </c>
      <c r="E1143" t="s">
        <v>149</v>
      </c>
      <c r="G1143">
        <v>0</v>
      </c>
    </row>
    <row r="1144" spans="2:7" x14ac:dyDescent="0.25">
      <c r="B1144" t="s">
        <v>149</v>
      </c>
      <c r="D1144" t="s">
        <v>696</v>
      </c>
      <c r="E1144" t="s">
        <v>149</v>
      </c>
      <c r="G1144">
        <v>0</v>
      </c>
    </row>
    <row r="1145" spans="2:7" x14ac:dyDescent="0.25">
      <c r="B1145" t="s">
        <v>149</v>
      </c>
      <c r="D1145" t="s">
        <v>696</v>
      </c>
      <c r="E1145" t="s">
        <v>149</v>
      </c>
      <c r="G1145">
        <v>0</v>
      </c>
    </row>
    <row r="1146" spans="2:7" x14ac:dyDescent="0.25">
      <c r="B1146" t="s">
        <v>149</v>
      </c>
      <c r="D1146" t="s">
        <v>696</v>
      </c>
      <c r="E1146" t="s">
        <v>149</v>
      </c>
      <c r="G1146">
        <v>0</v>
      </c>
    </row>
    <row r="1147" spans="2:7" x14ac:dyDescent="0.25">
      <c r="B1147" t="s">
        <v>149</v>
      </c>
      <c r="D1147" t="s">
        <v>696</v>
      </c>
      <c r="E1147" t="s">
        <v>149</v>
      </c>
      <c r="G1147">
        <v>0</v>
      </c>
    </row>
    <row r="1148" spans="2:7" x14ac:dyDescent="0.25">
      <c r="B1148" t="s">
        <v>149</v>
      </c>
      <c r="D1148" t="s">
        <v>696</v>
      </c>
      <c r="E1148" t="s">
        <v>149</v>
      </c>
      <c r="G1148">
        <v>0</v>
      </c>
    </row>
    <row r="1149" spans="2:7" x14ac:dyDescent="0.25">
      <c r="B1149" t="s">
        <v>149</v>
      </c>
      <c r="D1149" t="s">
        <v>696</v>
      </c>
      <c r="E1149" t="s">
        <v>149</v>
      </c>
      <c r="G1149">
        <v>0</v>
      </c>
    </row>
    <row r="1150" spans="2:7" x14ac:dyDescent="0.25">
      <c r="B1150" t="s">
        <v>149</v>
      </c>
      <c r="D1150" t="s">
        <v>696</v>
      </c>
      <c r="E1150" t="s">
        <v>149</v>
      </c>
      <c r="G1150">
        <v>0</v>
      </c>
    </row>
    <row r="1151" spans="2:7" x14ac:dyDescent="0.25">
      <c r="B1151" t="s">
        <v>149</v>
      </c>
      <c r="D1151" t="s">
        <v>696</v>
      </c>
      <c r="E1151" t="s">
        <v>149</v>
      </c>
      <c r="G1151">
        <v>0</v>
      </c>
    </row>
    <row r="1152" spans="2:7" x14ac:dyDescent="0.25">
      <c r="B1152" t="s">
        <v>149</v>
      </c>
      <c r="D1152" t="s">
        <v>696</v>
      </c>
      <c r="E1152" t="s">
        <v>149</v>
      </c>
      <c r="G1152">
        <v>0</v>
      </c>
    </row>
    <row r="1153" spans="2:7" x14ac:dyDescent="0.25">
      <c r="B1153" t="s">
        <v>149</v>
      </c>
      <c r="D1153" t="s">
        <v>696</v>
      </c>
      <c r="E1153" t="s">
        <v>149</v>
      </c>
      <c r="G1153">
        <v>0</v>
      </c>
    </row>
    <row r="1154" spans="2:7" x14ac:dyDescent="0.25">
      <c r="B1154" t="s">
        <v>149</v>
      </c>
      <c r="D1154" t="s">
        <v>696</v>
      </c>
      <c r="E1154" t="s">
        <v>149</v>
      </c>
      <c r="G1154">
        <v>0</v>
      </c>
    </row>
    <row r="1155" spans="2:7" x14ac:dyDescent="0.25">
      <c r="B1155" t="s">
        <v>149</v>
      </c>
      <c r="D1155" t="s">
        <v>696</v>
      </c>
      <c r="E1155" t="s">
        <v>149</v>
      </c>
      <c r="G1155">
        <v>0</v>
      </c>
    </row>
    <row r="1156" spans="2:7" x14ac:dyDescent="0.25">
      <c r="B1156" t="s">
        <v>149</v>
      </c>
      <c r="D1156" t="s">
        <v>696</v>
      </c>
      <c r="E1156" t="s">
        <v>149</v>
      </c>
      <c r="G1156">
        <v>0</v>
      </c>
    </row>
    <row r="1157" spans="2:7" x14ac:dyDescent="0.25">
      <c r="B1157" t="s">
        <v>149</v>
      </c>
      <c r="D1157" t="s">
        <v>696</v>
      </c>
      <c r="E1157" t="s">
        <v>149</v>
      </c>
      <c r="G1157">
        <v>0</v>
      </c>
    </row>
    <row r="1158" spans="2:7" x14ac:dyDescent="0.25">
      <c r="B1158" t="s">
        <v>149</v>
      </c>
      <c r="D1158" t="s">
        <v>696</v>
      </c>
      <c r="E1158" t="s">
        <v>149</v>
      </c>
      <c r="G1158">
        <v>0</v>
      </c>
    </row>
    <row r="1159" spans="2:7" x14ac:dyDescent="0.25">
      <c r="B1159" t="s">
        <v>149</v>
      </c>
      <c r="D1159" t="s">
        <v>696</v>
      </c>
      <c r="E1159" t="s">
        <v>149</v>
      </c>
      <c r="G1159">
        <v>0</v>
      </c>
    </row>
    <row r="1160" spans="2:7" x14ac:dyDescent="0.25">
      <c r="B1160" t="s">
        <v>149</v>
      </c>
      <c r="D1160" t="s">
        <v>696</v>
      </c>
      <c r="E1160" t="s">
        <v>149</v>
      </c>
      <c r="G1160">
        <v>0</v>
      </c>
    </row>
    <row r="1161" spans="2:7" x14ac:dyDescent="0.25">
      <c r="B1161" t="s">
        <v>149</v>
      </c>
      <c r="D1161" t="s">
        <v>696</v>
      </c>
      <c r="E1161" t="s">
        <v>149</v>
      </c>
      <c r="G1161">
        <v>0</v>
      </c>
    </row>
    <row r="1162" spans="2:7" x14ac:dyDescent="0.25">
      <c r="B1162" t="s">
        <v>149</v>
      </c>
      <c r="D1162" t="s">
        <v>696</v>
      </c>
      <c r="E1162" t="s">
        <v>149</v>
      </c>
      <c r="G1162">
        <v>0</v>
      </c>
    </row>
    <row r="1163" spans="2:7" x14ac:dyDescent="0.25">
      <c r="B1163" t="s">
        <v>149</v>
      </c>
      <c r="D1163" t="s">
        <v>696</v>
      </c>
      <c r="E1163" t="s">
        <v>149</v>
      </c>
      <c r="G1163">
        <v>0</v>
      </c>
    </row>
    <row r="1164" spans="2:7" x14ac:dyDescent="0.25">
      <c r="B1164" t="s">
        <v>149</v>
      </c>
      <c r="D1164" t="s">
        <v>696</v>
      </c>
      <c r="E1164" t="s">
        <v>149</v>
      </c>
      <c r="G1164">
        <v>0</v>
      </c>
    </row>
    <row r="1165" spans="2:7" x14ac:dyDescent="0.25">
      <c r="B1165" t="s">
        <v>149</v>
      </c>
      <c r="D1165" t="s">
        <v>696</v>
      </c>
      <c r="E1165" t="s">
        <v>149</v>
      </c>
      <c r="G1165">
        <v>0</v>
      </c>
    </row>
    <row r="1166" spans="2:7" x14ac:dyDescent="0.25">
      <c r="B1166" t="s">
        <v>149</v>
      </c>
      <c r="D1166" t="s">
        <v>696</v>
      </c>
      <c r="E1166" t="s">
        <v>149</v>
      </c>
      <c r="G1166">
        <v>0</v>
      </c>
    </row>
    <row r="1167" spans="2:7" x14ac:dyDescent="0.25">
      <c r="B1167" t="s">
        <v>149</v>
      </c>
      <c r="D1167" t="s">
        <v>696</v>
      </c>
      <c r="E1167" t="s">
        <v>149</v>
      </c>
      <c r="G1167">
        <v>0</v>
      </c>
    </row>
    <row r="1168" spans="2:7" x14ac:dyDescent="0.25">
      <c r="B1168" t="s">
        <v>149</v>
      </c>
      <c r="D1168" t="s">
        <v>696</v>
      </c>
      <c r="E1168" t="s">
        <v>149</v>
      </c>
      <c r="G1168">
        <v>0</v>
      </c>
    </row>
    <row r="1169" spans="2:7" x14ac:dyDescent="0.25">
      <c r="B1169" t="s">
        <v>149</v>
      </c>
      <c r="D1169" t="s">
        <v>696</v>
      </c>
      <c r="E1169" t="s">
        <v>149</v>
      </c>
      <c r="G1169">
        <v>0</v>
      </c>
    </row>
    <row r="1170" spans="2:7" x14ac:dyDescent="0.25">
      <c r="B1170" t="s">
        <v>149</v>
      </c>
      <c r="D1170" t="s">
        <v>696</v>
      </c>
      <c r="E1170" t="s">
        <v>149</v>
      </c>
      <c r="G1170">
        <v>0</v>
      </c>
    </row>
    <row r="1171" spans="2:7" x14ac:dyDescent="0.25">
      <c r="B1171" t="s">
        <v>149</v>
      </c>
      <c r="D1171" t="s">
        <v>696</v>
      </c>
      <c r="E1171" t="s">
        <v>149</v>
      </c>
      <c r="G1171">
        <v>0</v>
      </c>
    </row>
    <row r="1172" spans="2:7" x14ac:dyDescent="0.25">
      <c r="B1172" t="s">
        <v>149</v>
      </c>
      <c r="D1172" t="s">
        <v>696</v>
      </c>
      <c r="E1172" t="s">
        <v>149</v>
      </c>
      <c r="G1172">
        <v>0</v>
      </c>
    </row>
    <row r="1173" spans="2:7" x14ac:dyDescent="0.25">
      <c r="B1173" t="s">
        <v>149</v>
      </c>
      <c r="D1173" t="s">
        <v>696</v>
      </c>
      <c r="E1173" t="s">
        <v>149</v>
      </c>
      <c r="G1173">
        <v>0</v>
      </c>
    </row>
    <row r="1174" spans="2:7" x14ac:dyDescent="0.25">
      <c r="B1174" t="s">
        <v>149</v>
      </c>
      <c r="D1174" t="s">
        <v>696</v>
      </c>
      <c r="E1174" t="s">
        <v>149</v>
      </c>
      <c r="G1174">
        <v>0</v>
      </c>
    </row>
    <row r="1175" spans="2:7" x14ac:dyDescent="0.25">
      <c r="B1175" t="s">
        <v>149</v>
      </c>
      <c r="D1175" t="s">
        <v>696</v>
      </c>
      <c r="E1175" t="s">
        <v>149</v>
      </c>
      <c r="G1175">
        <v>0</v>
      </c>
    </row>
    <row r="1176" spans="2:7" x14ac:dyDescent="0.25">
      <c r="B1176" t="s">
        <v>149</v>
      </c>
      <c r="D1176" t="s">
        <v>696</v>
      </c>
      <c r="E1176" t="s">
        <v>149</v>
      </c>
      <c r="G1176">
        <v>0</v>
      </c>
    </row>
    <row r="1177" spans="2:7" x14ac:dyDescent="0.25">
      <c r="B1177" t="s">
        <v>149</v>
      </c>
      <c r="D1177" t="s">
        <v>696</v>
      </c>
      <c r="E1177" t="s">
        <v>149</v>
      </c>
      <c r="G1177">
        <v>0</v>
      </c>
    </row>
    <row r="1178" spans="2:7" x14ac:dyDescent="0.25">
      <c r="B1178" t="s">
        <v>149</v>
      </c>
      <c r="D1178" t="s">
        <v>696</v>
      </c>
      <c r="E1178" t="s">
        <v>149</v>
      </c>
      <c r="G1178">
        <v>0</v>
      </c>
    </row>
    <row r="1179" spans="2:7" x14ac:dyDescent="0.25">
      <c r="B1179" t="s">
        <v>149</v>
      </c>
      <c r="D1179" t="s">
        <v>696</v>
      </c>
      <c r="E1179" t="s">
        <v>149</v>
      </c>
      <c r="G1179">
        <v>0</v>
      </c>
    </row>
    <row r="1180" spans="2:7" x14ac:dyDescent="0.25">
      <c r="B1180" t="s">
        <v>149</v>
      </c>
      <c r="D1180" t="s">
        <v>696</v>
      </c>
      <c r="E1180" t="s">
        <v>149</v>
      </c>
      <c r="G1180">
        <v>0</v>
      </c>
    </row>
    <row r="1181" spans="2:7" x14ac:dyDescent="0.25">
      <c r="B1181" t="s">
        <v>149</v>
      </c>
      <c r="D1181" t="s">
        <v>696</v>
      </c>
      <c r="E1181" t="s">
        <v>149</v>
      </c>
      <c r="G1181">
        <v>0</v>
      </c>
    </row>
    <row r="1182" spans="2:7" x14ac:dyDescent="0.25">
      <c r="B1182" t="s">
        <v>149</v>
      </c>
      <c r="D1182" t="s">
        <v>696</v>
      </c>
      <c r="E1182" t="s">
        <v>149</v>
      </c>
      <c r="G1182">
        <v>0</v>
      </c>
    </row>
    <row r="1183" spans="2:7" x14ac:dyDescent="0.25">
      <c r="B1183" t="s">
        <v>149</v>
      </c>
      <c r="D1183" t="s">
        <v>696</v>
      </c>
      <c r="E1183" t="s">
        <v>149</v>
      </c>
      <c r="G1183">
        <v>0</v>
      </c>
    </row>
    <row r="1184" spans="2:7" x14ac:dyDescent="0.25">
      <c r="B1184" t="s">
        <v>149</v>
      </c>
      <c r="D1184" t="s">
        <v>696</v>
      </c>
      <c r="E1184" t="s">
        <v>149</v>
      </c>
      <c r="G1184">
        <v>0</v>
      </c>
    </row>
    <row r="1185" spans="2:7" x14ac:dyDescent="0.25">
      <c r="B1185" t="s">
        <v>149</v>
      </c>
      <c r="D1185" t="s">
        <v>696</v>
      </c>
      <c r="E1185" t="s">
        <v>149</v>
      </c>
      <c r="G1185">
        <v>0</v>
      </c>
    </row>
    <row r="1186" spans="2:7" x14ac:dyDescent="0.25">
      <c r="B1186" t="s">
        <v>149</v>
      </c>
      <c r="D1186" t="s">
        <v>696</v>
      </c>
      <c r="E1186" t="s">
        <v>149</v>
      </c>
      <c r="G1186">
        <v>0</v>
      </c>
    </row>
    <row r="1187" spans="2:7" x14ac:dyDescent="0.25">
      <c r="B1187" t="s">
        <v>149</v>
      </c>
      <c r="D1187" t="s">
        <v>696</v>
      </c>
      <c r="E1187" t="s">
        <v>149</v>
      </c>
      <c r="G1187">
        <v>0</v>
      </c>
    </row>
    <row r="1188" spans="2:7" x14ac:dyDescent="0.25">
      <c r="B1188" t="s">
        <v>149</v>
      </c>
      <c r="D1188" t="s">
        <v>696</v>
      </c>
      <c r="E1188" t="s">
        <v>149</v>
      </c>
      <c r="G1188">
        <v>0</v>
      </c>
    </row>
    <row r="1189" spans="2:7" x14ac:dyDescent="0.25">
      <c r="B1189" t="s">
        <v>149</v>
      </c>
      <c r="D1189" t="s">
        <v>696</v>
      </c>
      <c r="E1189" t="s">
        <v>149</v>
      </c>
      <c r="G1189">
        <v>0</v>
      </c>
    </row>
    <row r="1190" spans="2:7" x14ac:dyDescent="0.25">
      <c r="B1190" t="s">
        <v>149</v>
      </c>
      <c r="D1190" t="s">
        <v>696</v>
      </c>
      <c r="E1190" t="s">
        <v>149</v>
      </c>
      <c r="G1190">
        <v>0</v>
      </c>
    </row>
    <row r="1191" spans="2:7" x14ac:dyDescent="0.25">
      <c r="B1191" t="s">
        <v>149</v>
      </c>
      <c r="D1191" t="s">
        <v>696</v>
      </c>
      <c r="E1191" t="s">
        <v>149</v>
      </c>
      <c r="G1191">
        <v>0</v>
      </c>
    </row>
    <row r="1192" spans="2:7" x14ac:dyDescent="0.25">
      <c r="B1192" t="s">
        <v>149</v>
      </c>
      <c r="D1192" t="s">
        <v>696</v>
      </c>
      <c r="E1192" t="s">
        <v>149</v>
      </c>
      <c r="G1192">
        <v>0</v>
      </c>
    </row>
    <row r="1193" spans="2:7" x14ac:dyDescent="0.25">
      <c r="B1193" t="s">
        <v>149</v>
      </c>
      <c r="D1193" t="s">
        <v>696</v>
      </c>
      <c r="E1193" t="s">
        <v>149</v>
      </c>
      <c r="G1193">
        <v>0</v>
      </c>
    </row>
    <row r="1194" spans="2:7" x14ac:dyDescent="0.25">
      <c r="B1194" t="s">
        <v>149</v>
      </c>
      <c r="D1194" t="s">
        <v>696</v>
      </c>
      <c r="E1194" t="s">
        <v>149</v>
      </c>
      <c r="G1194">
        <v>0</v>
      </c>
    </row>
    <row r="1195" spans="2:7" x14ac:dyDescent="0.25">
      <c r="B1195" t="s">
        <v>149</v>
      </c>
      <c r="D1195" t="s">
        <v>696</v>
      </c>
      <c r="E1195" t="s">
        <v>149</v>
      </c>
      <c r="G1195">
        <v>0</v>
      </c>
    </row>
    <row r="1196" spans="2:7" x14ac:dyDescent="0.25">
      <c r="B1196" t="s">
        <v>149</v>
      </c>
      <c r="D1196" t="s">
        <v>696</v>
      </c>
      <c r="E1196" t="s">
        <v>149</v>
      </c>
      <c r="G1196">
        <v>0</v>
      </c>
    </row>
    <row r="1197" spans="2:7" x14ac:dyDescent="0.25">
      <c r="B1197" t="s">
        <v>149</v>
      </c>
      <c r="D1197" t="s">
        <v>696</v>
      </c>
      <c r="E1197" t="s">
        <v>149</v>
      </c>
      <c r="G1197">
        <v>0</v>
      </c>
    </row>
    <row r="1198" spans="2:7" x14ac:dyDescent="0.25">
      <c r="B1198" t="s">
        <v>149</v>
      </c>
      <c r="D1198" t="s">
        <v>696</v>
      </c>
      <c r="E1198" t="s">
        <v>149</v>
      </c>
      <c r="G1198">
        <v>0</v>
      </c>
    </row>
    <row r="1199" spans="2:7" x14ac:dyDescent="0.25">
      <c r="B1199" t="s">
        <v>149</v>
      </c>
      <c r="D1199" t="s">
        <v>696</v>
      </c>
      <c r="E1199" t="s">
        <v>149</v>
      </c>
      <c r="G1199">
        <v>0</v>
      </c>
    </row>
    <row r="1200" spans="2:7" x14ac:dyDescent="0.25">
      <c r="B1200" t="s">
        <v>149</v>
      </c>
      <c r="D1200" t="s">
        <v>696</v>
      </c>
      <c r="E1200" t="s">
        <v>149</v>
      </c>
      <c r="G1200">
        <v>0</v>
      </c>
    </row>
    <row r="1201" spans="2:7" x14ac:dyDescent="0.25">
      <c r="B1201" t="s">
        <v>149</v>
      </c>
      <c r="D1201" t="s">
        <v>696</v>
      </c>
      <c r="E1201" t="s">
        <v>149</v>
      </c>
      <c r="G1201">
        <v>0</v>
      </c>
    </row>
    <row r="1202" spans="2:7" x14ac:dyDescent="0.25">
      <c r="B1202" t="s">
        <v>149</v>
      </c>
      <c r="D1202" t="s">
        <v>696</v>
      </c>
      <c r="E1202" t="s">
        <v>149</v>
      </c>
      <c r="G1202">
        <v>0</v>
      </c>
    </row>
    <row r="1203" spans="2:7" x14ac:dyDescent="0.25">
      <c r="B1203" t="s">
        <v>149</v>
      </c>
      <c r="D1203" t="s">
        <v>696</v>
      </c>
      <c r="E1203" t="s">
        <v>149</v>
      </c>
      <c r="G1203">
        <v>0</v>
      </c>
    </row>
    <row r="1204" spans="2:7" x14ac:dyDescent="0.25">
      <c r="B1204" t="s">
        <v>149</v>
      </c>
      <c r="D1204" t="s">
        <v>696</v>
      </c>
      <c r="E1204" t="s">
        <v>149</v>
      </c>
      <c r="G1204">
        <v>0</v>
      </c>
    </row>
    <row r="1205" spans="2:7" x14ac:dyDescent="0.25">
      <c r="B1205" t="s">
        <v>149</v>
      </c>
      <c r="D1205" t="s">
        <v>696</v>
      </c>
      <c r="E1205" t="s">
        <v>149</v>
      </c>
      <c r="G1205">
        <v>0</v>
      </c>
    </row>
    <row r="1206" spans="2:7" x14ac:dyDescent="0.25">
      <c r="B1206" t="s">
        <v>149</v>
      </c>
      <c r="D1206" t="s">
        <v>696</v>
      </c>
      <c r="E1206" t="s">
        <v>149</v>
      </c>
      <c r="G1206">
        <v>0</v>
      </c>
    </row>
    <row r="1207" spans="2:7" x14ac:dyDescent="0.25">
      <c r="B1207" t="s">
        <v>149</v>
      </c>
      <c r="D1207" t="s">
        <v>696</v>
      </c>
      <c r="E1207" t="s">
        <v>149</v>
      </c>
      <c r="G1207">
        <v>0</v>
      </c>
    </row>
    <row r="1208" spans="2:7" x14ac:dyDescent="0.25">
      <c r="B1208" t="s">
        <v>149</v>
      </c>
      <c r="D1208" t="s">
        <v>696</v>
      </c>
      <c r="E1208" t="s">
        <v>149</v>
      </c>
      <c r="G1208">
        <v>0</v>
      </c>
    </row>
    <row r="1209" spans="2:7" x14ac:dyDescent="0.25">
      <c r="B1209" t="s">
        <v>149</v>
      </c>
      <c r="D1209" t="s">
        <v>696</v>
      </c>
      <c r="E1209" t="s">
        <v>149</v>
      </c>
      <c r="G1209">
        <v>0</v>
      </c>
    </row>
    <row r="1210" spans="2:7" x14ac:dyDescent="0.25">
      <c r="B1210" t="s">
        <v>149</v>
      </c>
      <c r="D1210" t="s">
        <v>696</v>
      </c>
      <c r="E1210" t="s">
        <v>149</v>
      </c>
      <c r="G1210">
        <v>0</v>
      </c>
    </row>
    <row r="1211" spans="2:7" x14ac:dyDescent="0.25">
      <c r="B1211" t="s">
        <v>149</v>
      </c>
      <c r="D1211" t="s">
        <v>696</v>
      </c>
      <c r="E1211" t="s">
        <v>149</v>
      </c>
      <c r="G1211">
        <v>0</v>
      </c>
    </row>
    <row r="1212" spans="2:7" x14ac:dyDescent="0.25">
      <c r="B1212" t="s">
        <v>149</v>
      </c>
      <c r="D1212" t="s">
        <v>696</v>
      </c>
      <c r="E1212" t="s">
        <v>149</v>
      </c>
      <c r="G1212">
        <v>0</v>
      </c>
    </row>
    <row r="1213" spans="2:7" x14ac:dyDescent="0.25">
      <c r="B1213" t="s">
        <v>149</v>
      </c>
      <c r="D1213" t="s">
        <v>696</v>
      </c>
      <c r="E1213" t="s">
        <v>149</v>
      </c>
      <c r="G1213">
        <v>0</v>
      </c>
    </row>
    <row r="1214" spans="2:7" x14ac:dyDescent="0.25">
      <c r="B1214" t="s">
        <v>149</v>
      </c>
      <c r="D1214" t="s">
        <v>696</v>
      </c>
      <c r="E1214" t="s">
        <v>149</v>
      </c>
      <c r="G1214">
        <v>0</v>
      </c>
    </row>
    <row r="1215" spans="2:7" x14ac:dyDescent="0.25">
      <c r="B1215" t="s">
        <v>149</v>
      </c>
      <c r="D1215" t="s">
        <v>696</v>
      </c>
      <c r="E1215" t="s">
        <v>149</v>
      </c>
      <c r="G1215">
        <v>0</v>
      </c>
    </row>
    <row r="1216" spans="2:7" x14ac:dyDescent="0.25">
      <c r="B1216" t="s">
        <v>149</v>
      </c>
      <c r="D1216" t="s">
        <v>696</v>
      </c>
      <c r="E1216" t="s">
        <v>149</v>
      </c>
      <c r="G1216">
        <v>0</v>
      </c>
    </row>
    <row r="1217" spans="2:7" x14ac:dyDescent="0.25">
      <c r="B1217" t="s">
        <v>149</v>
      </c>
      <c r="D1217" t="s">
        <v>696</v>
      </c>
      <c r="E1217" t="s">
        <v>149</v>
      </c>
      <c r="G1217">
        <v>0</v>
      </c>
    </row>
    <row r="1218" spans="2:7" x14ac:dyDescent="0.25">
      <c r="B1218" t="s">
        <v>149</v>
      </c>
      <c r="D1218" t="s">
        <v>696</v>
      </c>
      <c r="E1218" t="s">
        <v>149</v>
      </c>
      <c r="G1218">
        <v>0</v>
      </c>
    </row>
    <row r="1219" spans="2:7" x14ac:dyDescent="0.25">
      <c r="B1219" t="s">
        <v>149</v>
      </c>
      <c r="D1219" t="s">
        <v>696</v>
      </c>
      <c r="E1219" t="s">
        <v>149</v>
      </c>
      <c r="G1219">
        <v>0</v>
      </c>
    </row>
    <row r="1220" spans="2:7" x14ac:dyDescent="0.25">
      <c r="B1220" t="s">
        <v>149</v>
      </c>
      <c r="D1220" t="s">
        <v>696</v>
      </c>
      <c r="E1220" t="s">
        <v>149</v>
      </c>
      <c r="G1220">
        <v>0</v>
      </c>
    </row>
    <row r="1221" spans="2:7" x14ac:dyDescent="0.25">
      <c r="B1221" t="s">
        <v>149</v>
      </c>
      <c r="D1221" t="s">
        <v>696</v>
      </c>
      <c r="E1221" t="s">
        <v>149</v>
      </c>
      <c r="G1221">
        <v>0</v>
      </c>
    </row>
    <row r="1222" spans="2:7" x14ac:dyDescent="0.25">
      <c r="B1222" t="s">
        <v>149</v>
      </c>
      <c r="D1222" t="s">
        <v>696</v>
      </c>
      <c r="E1222" t="s">
        <v>149</v>
      </c>
      <c r="G1222">
        <v>0</v>
      </c>
    </row>
    <row r="1223" spans="2:7" x14ac:dyDescent="0.25">
      <c r="B1223" t="s">
        <v>149</v>
      </c>
      <c r="D1223" t="s">
        <v>696</v>
      </c>
      <c r="E1223" t="s">
        <v>149</v>
      </c>
      <c r="G1223">
        <v>0</v>
      </c>
    </row>
    <row r="1224" spans="2:7" x14ac:dyDescent="0.25">
      <c r="B1224" t="s">
        <v>149</v>
      </c>
      <c r="D1224" t="s">
        <v>696</v>
      </c>
      <c r="E1224" t="s">
        <v>149</v>
      </c>
      <c r="G1224">
        <v>0</v>
      </c>
    </row>
    <row r="1225" spans="2:7" x14ac:dyDescent="0.25">
      <c r="B1225" t="s">
        <v>149</v>
      </c>
      <c r="D1225" t="s">
        <v>696</v>
      </c>
      <c r="E1225" t="s">
        <v>149</v>
      </c>
      <c r="G1225">
        <v>0</v>
      </c>
    </row>
    <row r="1226" spans="2:7" x14ac:dyDescent="0.25">
      <c r="B1226" t="s">
        <v>149</v>
      </c>
      <c r="D1226" t="s">
        <v>696</v>
      </c>
      <c r="E1226" t="s">
        <v>149</v>
      </c>
      <c r="G1226">
        <v>0</v>
      </c>
    </row>
    <row r="1227" spans="2:7" x14ac:dyDescent="0.25">
      <c r="B1227" t="s">
        <v>149</v>
      </c>
      <c r="D1227" t="s">
        <v>696</v>
      </c>
      <c r="E1227" t="s">
        <v>149</v>
      </c>
      <c r="G1227">
        <v>0</v>
      </c>
    </row>
    <row r="1228" spans="2:7" x14ac:dyDescent="0.25">
      <c r="B1228" t="s">
        <v>149</v>
      </c>
      <c r="D1228" t="s">
        <v>696</v>
      </c>
      <c r="E1228" t="s">
        <v>149</v>
      </c>
      <c r="G1228">
        <v>0</v>
      </c>
    </row>
    <row r="1229" spans="2:7" x14ac:dyDescent="0.25">
      <c r="B1229" t="s">
        <v>149</v>
      </c>
      <c r="D1229" t="s">
        <v>696</v>
      </c>
      <c r="E1229" t="s">
        <v>149</v>
      </c>
      <c r="G1229">
        <v>0</v>
      </c>
    </row>
    <row r="1230" spans="2:7" x14ac:dyDescent="0.25">
      <c r="B1230" t="s">
        <v>149</v>
      </c>
      <c r="D1230" t="s">
        <v>696</v>
      </c>
      <c r="E1230" t="s">
        <v>149</v>
      </c>
      <c r="G1230">
        <v>0</v>
      </c>
    </row>
    <row r="1231" spans="2:7" x14ac:dyDescent="0.25">
      <c r="B1231" t="s">
        <v>149</v>
      </c>
      <c r="D1231" t="s">
        <v>696</v>
      </c>
      <c r="E1231" t="s">
        <v>149</v>
      </c>
      <c r="G1231">
        <v>0</v>
      </c>
    </row>
    <row r="1232" spans="2:7" x14ac:dyDescent="0.25">
      <c r="B1232" t="s">
        <v>149</v>
      </c>
      <c r="D1232" t="s">
        <v>696</v>
      </c>
      <c r="E1232" t="s">
        <v>149</v>
      </c>
      <c r="G1232">
        <v>0</v>
      </c>
    </row>
    <row r="1233" spans="2:7" x14ac:dyDescent="0.25">
      <c r="B1233" t="s">
        <v>149</v>
      </c>
      <c r="D1233" t="s">
        <v>696</v>
      </c>
      <c r="E1233" t="s">
        <v>149</v>
      </c>
      <c r="G1233">
        <v>0</v>
      </c>
    </row>
    <row r="1234" spans="2:7" x14ac:dyDescent="0.25">
      <c r="B1234" t="s">
        <v>149</v>
      </c>
      <c r="D1234" t="s">
        <v>696</v>
      </c>
      <c r="E1234" t="s">
        <v>149</v>
      </c>
      <c r="G1234">
        <v>0</v>
      </c>
    </row>
    <row r="1235" spans="2:7" x14ac:dyDescent="0.25">
      <c r="B1235" t="s">
        <v>149</v>
      </c>
      <c r="D1235" t="s">
        <v>696</v>
      </c>
      <c r="E1235" t="s">
        <v>149</v>
      </c>
      <c r="G1235">
        <v>0</v>
      </c>
    </row>
    <row r="1236" spans="2:7" x14ac:dyDescent="0.25">
      <c r="B1236" t="s">
        <v>149</v>
      </c>
      <c r="D1236" t="s">
        <v>696</v>
      </c>
      <c r="E1236" t="s">
        <v>149</v>
      </c>
      <c r="G1236">
        <v>0</v>
      </c>
    </row>
    <row r="1237" spans="2:7" x14ac:dyDescent="0.25">
      <c r="B1237" t="s">
        <v>149</v>
      </c>
      <c r="D1237" t="s">
        <v>696</v>
      </c>
      <c r="E1237" t="s">
        <v>149</v>
      </c>
      <c r="G1237">
        <v>0</v>
      </c>
    </row>
    <row r="1238" spans="2:7" x14ac:dyDescent="0.25">
      <c r="B1238" t="s">
        <v>149</v>
      </c>
      <c r="D1238" t="s">
        <v>696</v>
      </c>
      <c r="E1238" t="s">
        <v>149</v>
      </c>
      <c r="G1238">
        <v>0</v>
      </c>
    </row>
    <row r="1239" spans="2:7" x14ac:dyDescent="0.25">
      <c r="B1239" t="s">
        <v>149</v>
      </c>
      <c r="D1239" t="s">
        <v>696</v>
      </c>
      <c r="E1239" t="s">
        <v>149</v>
      </c>
      <c r="G1239">
        <v>0</v>
      </c>
    </row>
    <row r="1240" spans="2:7" x14ac:dyDescent="0.25">
      <c r="B1240" t="s">
        <v>149</v>
      </c>
      <c r="D1240" t="s">
        <v>696</v>
      </c>
      <c r="E1240" t="s">
        <v>149</v>
      </c>
      <c r="G1240">
        <v>0</v>
      </c>
    </row>
    <row r="1241" spans="2:7" x14ac:dyDescent="0.25">
      <c r="B1241" t="s">
        <v>149</v>
      </c>
      <c r="D1241" t="s">
        <v>696</v>
      </c>
      <c r="E1241" t="s">
        <v>149</v>
      </c>
      <c r="G1241">
        <v>0</v>
      </c>
    </row>
    <row r="1242" spans="2:7" x14ac:dyDescent="0.25">
      <c r="B1242" t="s">
        <v>149</v>
      </c>
      <c r="D1242" t="s">
        <v>696</v>
      </c>
      <c r="E1242" t="s">
        <v>149</v>
      </c>
      <c r="G1242">
        <v>0</v>
      </c>
    </row>
    <row r="1243" spans="2:7" x14ac:dyDescent="0.25">
      <c r="B1243" t="s">
        <v>149</v>
      </c>
      <c r="D1243" t="s">
        <v>696</v>
      </c>
      <c r="E1243" t="s">
        <v>149</v>
      </c>
      <c r="G1243">
        <v>0</v>
      </c>
    </row>
    <row r="1244" spans="2:7" x14ac:dyDescent="0.25">
      <c r="B1244" t="s">
        <v>149</v>
      </c>
      <c r="D1244" t="s">
        <v>696</v>
      </c>
      <c r="E1244" t="s">
        <v>149</v>
      </c>
      <c r="G1244">
        <v>0</v>
      </c>
    </row>
    <row r="1245" spans="2:7" x14ac:dyDescent="0.25">
      <c r="B1245" t="s">
        <v>149</v>
      </c>
      <c r="D1245" t="s">
        <v>696</v>
      </c>
      <c r="E1245" t="s">
        <v>149</v>
      </c>
      <c r="G1245">
        <v>0</v>
      </c>
    </row>
    <row r="1246" spans="2:7" x14ac:dyDescent="0.25">
      <c r="B1246" t="s">
        <v>149</v>
      </c>
      <c r="D1246" t="s">
        <v>696</v>
      </c>
      <c r="E1246" t="s">
        <v>149</v>
      </c>
      <c r="G1246">
        <v>0</v>
      </c>
    </row>
    <row r="1247" spans="2:7" x14ac:dyDescent="0.25">
      <c r="B1247" t="s">
        <v>149</v>
      </c>
      <c r="D1247" t="s">
        <v>696</v>
      </c>
      <c r="E1247" t="s">
        <v>149</v>
      </c>
      <c r="G1247">
        <v>0</v>
      </c>
    </row>
    <row r="1248" spans="2:7" x14ac:dyDescent="0.25">
      <c r="B1248" t="s">
        <v>149</v>
      </c>
      <c r="D1248" t="s">
        <v>696</v>
      </c>
      <c r="E1248" t="s">
        <v>149</v>
      </c>
      <c r="G1248">
        <v>0</v>
      </c>
    </row>
    <row r="1249" spans="2:7" x14ac:dyDescent="0.25">
      <c r="B1249" t="s">
        <v>149</v>
      </c>
      <c r="D1249" t="s">
        <v>696</v>
      </c>
      <c r="E1249" t="s">
        <v>149</v>
      </c>
      <c r="G1249">
        <v>0</v>
      </c>
    </row>
    <row r="1250" spans="2:7" x14ac:dyDescent="0.25">
      <c r="B1250" t="s">
        <v>149</v>
      </c>
      <c r="D1250" t="s">
        <v>696</v>
      </c>
      <c r="E1250" t="s">
        <v>149</v>
      </c>
      <c r="G1250">
        <v>0</v>
      </c>
    </row>
    <row r="1251" spans="2:7" x14ac:dyDescent="0.25">
      <c r="B1251" t="s">
        <v>149</v>
      </c>
      <c r="D1251" t="s">
        <v>696</v>
      </c>
      <c r="E1251" t="s">
        <v>149</v>
      </c>
      <c r="G1251">
        <v>0</v>
      </c>
    </row>
    <row r="1252" spans="2:7" x14ac:dyDescent="0.25">
      <c r="B1252" t="s">
        <v>149</v>
      </c>
      <c r="D1252" t="s">
        <v>696</v>
      </c>
      <c r="E1252" t="s">
        <v>149</v>
      </c>
      <c r="G1252">
        <v>0</v>
      </c>
    </row>
    <row r="1253" spans="2:7" x14ac:dyDescent="0.25">
      <c r="B1253" t="s">
        <v>149</v>
      </c>
      <c r="D1253" t="s">
        <v>696</v>
      </c>
      <c r="E1253" t="s">
        <v>149</v>
      </c>
      <c r="G1253">
        <v>0</v>
      </c>
    </row>
    <row r="1254" spans="2:7" x14ac:dyDescent="0.25">
      <c r="B1254" t="s">
        <v>149</v>
      </c>
      <c r="D1254" t="s">
        <v>696</v>
      </c>
      <c r="E1254" t="s">
        <v>149</v>
      </c>
      <c r="G1254">
        <v>0</v>
      </c>
    </row>
    <row r="1255" spans="2:7" x14ac:dyDescent="0.25">
      <c r="B1255" t="s">
        <v>149</v>
      </c>
      <c r="D1255" t="s">
        <v>696</v>
      </c>
      <c r="E1255" t="s">
        <v>149</v>
      </c>
      <c r="G1255">
        <v>0</v>
      </c>
    </row>
    <row r="1256" spans="2:7" x14ac:dyDescent="0.25">
      <c r="B1256" t="s">
        <v>149</v>
      </c>
      <c r="D1256" t="s">
        <v>696</v>
      </c>
      <c r="E1256" t="s">
        <v>149</v>
      </c>
      <c r="G1256">
        <v>0</v>
      </c>
    </row>
    <row r="1257" spans="2:7" x14ac:dyDescent="0.25">
      <c r="B1257" t="s">
        <v>149</v>
      </c>
      <c r="D1257" t="s">
        <v>696</v>
      </c>
      <c r="E1257" t="s">
        <v>149</v>
      </c>
      <c r="G1257">
        <v>0</v>
      </c>
    </row>
    <row r="1258" spans="2:7" x14ac:dyDescent="0.25">
      <c r="B1258" t="s">
        <v>149</v>
      </c>
      <c r="D1258" t="s">
        <v>696</v>
      </c>
      <c r="E1258" t="s">
        <v>149</v>
      </c>
      <c r="G1258">
        <v>0</v>
      </c>
    </row>
    <row r="1259" spans="2:7" x14ac:dyDescent="0.25">
      <c r="B1259" t="s">
        <v>149</v>
      </c>
      <c r="D1259" t="s">
        <v>696</v>
      </c>
      <c r="E1259" t="s">
        <v>149</v>
      </c>
      <c r="G1259">
        <v>0</v>
      </c>
    </row>
    <row r="1260" spans="2:7" x14ac:dyDescent="0.25">
      <c r="B1260" t="s">
        <v>149</v>
      </c>
      <c r="D1260" t="s">
        <v>696</v>
      </c>
      <c r="E1260" t="s">
        <v>149</v>
      </c>
      <c r="G1260">
        <v>0</v>
      </c>
    </row>
    <row r="1261" spans="2:7" x14ac:dyDescent="0.25">
      <c r="B1261" t="s">
        <v>149</v>
      </c>
      <c r="D1261" t="s">
        <v>696</v>
      </c>
      <c r="E1261" t="s">
        <v>149</v>
      </c>
      <c r="G1261">
        <v>0</v>
      </c>
    </row>
    <row r="1262" spans="2:7" x14ac:dyDescent="0.25">
      <c r="B1262" t="s">
        <v>149</v>
      </c>
      <c r="D1262" t="s">
        <v>696</v>
      </c>
      <c r="E1262" t="s">
        <v>149</v>
      </c>
      <c r="G1262">
        <v>0</v>
      </c>
    </row>
    <row r="1263" spans="2:7" x14ac:dyDescent="0.25">
      <c r="B1263" t="s">
        <v>149</v>
      </c>
      <c r="D1263" t="s">
        <v>696</v>
      </c>
      <c r="E1263" t="s">
        <v>149</v>
      </c>
      <c r="G1263">
        <v>0</v>
      </c>
    </row>
    <row r="1264" spans="2:7" x14ac:dyDescent="0.25">
      <c r="B1264" t="s">
        <v>149</v>
      </c>
      <c r="D1264" t="s">
        <v>696</v>
      </c>
      <c r="E1264" t="s">
        <v>149</v>
      </c>
      <c r="G1264">
        <v>0</v>
      </c>
    </row>
    <row r="1265" spans="2:7" x14ac:dyDescent="0.25">
      <c r="B1265" t="s">
        <v>149</v>
      </c>
      <c r="D1265" t="s">
        <v>696</v>
      </c>
      <c r="E1265" t="s">
        <v>149</v>
      </c>
      <c r="G1265">
        <v>0</v>
      </c>
    </row>
    <row r="1266" spans="2:7" x14ac:dyDescent="0.25">
      <c r="B1266" t="s">
        <v>149</v>
      </c>
      <c r="D1266" t="s">
        <v>696</v>
      </c>
      <c r="E1266" t="s">
        <v>149</v>
      </c>
      <c r="G1266">
        <v>0</v>
      </c>
    </row>
    <row r="1267" spans="2:7" x14ac:dyDescent="0.25">
      <c r="B1267" t="s">
        <v>149</v>
      </c>
      <c r="D1267" t="s">
        <v>696</v>
      </c>
      <c r="E1267" t="s">
        <v>149</v>
      </c>
      <c r="G1267">
        <v>0</v>
      </c>
    </row>
    <row r="1268" spans="2:7" x14ac:dyDescent="0.25">
      <c r="B1268" t="s">
        <v>149</v>
      </c>
      <c r="D1268" t="s">
        <v>696</v>
      </c>
      <c r="E1268" t="s">
        <v>149</v>
      </c>
      <c r="G1268">
        <v>0</v>
      </c>
    </row>
    <row r="1269" spans="2:7" x14ac:dyDescent="0.25">
      <c r="B1269" t="s">
        <v>149</v>
      </c>
      <c r="D1269" t="s">
        <v>696</v>
      </c>
      <c r="E1269" t="s">
        <v>149</v>
      </c>
      <c r="G1269">
        <v>0</v>
      </c>
    </row>
    <row r="1270" spans="2:7" x14ac:dyDescent="0.25">
      <c r="B1270" t="s">
        <v>149</v>
      </c>
      <c r="D1270" t="s">
        <v>696</v>
      </c>
      <c r="E1270" t="s">
        <v>149</v>
      </c>
      <c r="G1270">
        <v>0</v>
      </c>
    </row>
    <row r="1271" spans="2:7" x14ac:dyDescent="0.25">
      <c r="B1271" t="s">
        <v>149</v>
      </c>
      <c r="D1271" t="s">
        <v>696</v>
      </c>
      <c r="E1271" t="s">
        <v>149</v>
      </c>
      <c r="G1271">
        <v>0</v>
      </c>
    </row>
    <row r="1272" spans="2:7" x14ac:dyDescent="0.25">
      <c r="B1272" t="s">
        <v>149</v>
      </c>
      <c r="D1272" t="s">
        <v>696</v>
      </c>
      <c r="E1272" t="s">
        <v>149</v>
      </c>
      <c r="G1272">
        <v>0</v>
      </c>
    </row>
    <row r="1273" spans="2:7" x14ac:dyDescent="0.25">
      <c r="B1273" t="s">
        <v>149</v>
      </c>
      <c r="D1273" t="s">
        <v>696</v>
      </c>
      <c r="E1273" t="s">
        <v>149</v>
      </c>
      <c r="G1273">
        <v>0</v>
      </c>
    </row>
    <row r="1274" spans="2:7" x14ac:dyDescent="0.25">
      <c r="B1274" t="s">
        <v>149</v>
      </c>
      <c r="D1274" t="s">
        <v>696</v>
      </c>
      <c r="E1274" t="s">
        <v>149</v>
      </c>
      <c r="G1274">
        <v>0</v>
      </c>
    </row>
    <row r="1275" spans="2:7" x14ac:dyDescent="0.25">
      <c r="B1275" t="s">
        <v>149</v>
      </c>
      <c r="D1275" t="s">
        <v>696</v>
      </c>
      <c r="E1275" t="s">
        <v>149</v>
      </c>
      <c r="G1275">
        <v>0</v>
      </c>
    </row>
    <row r="1276" spans="2:7" x14ac:dyDescent="0.25">
      <c r="B1276" t="s">
        <v>149</v>
      </c>
      <c r="D1276" t="s">
        <v>696</v>
      </c>
      <c r="E1276" t="s">
        <v>149</v>
      </c>
      <c r="G1276">
        <v>0</v>
      </c>
    </row>
    <row r="1277" spans="2:7" x14ac:dyDescent="0.25">
      <c r="B1277" t="s">
        <v>149</v>
      </c>
      <c r="D1277" t="s">
        <v>696</v>
      </c>
      <c r="E1277" t="s">
        <v>149</v>
      </c>
      <c r="G1277">
        <v>0</v>
      </c>
    </row>
    <row r="1278" spans="2:7" x14ac:dyDescent="0.25">
      <c r="B1278" t="s">
        <v>149</v>
      </c>
      <c r="D1278" t="s">
        <v>696</v>
      </c>
      <c r="E1278" t="s">
        <v>149</v>
      </c>
      <c r="G1278">
        <v>0</v>
      </c>
    </row>
    <row r="1279" spans="2:7" x14ac:dyDescent="0.25">
      <c r="B1279" t="s">
        <v>149</v>
      </c>
      <c r="D1279" t="s">
        <v>696</v>
      </c>
      <c r="E1279" t="s">
        <v>149</v>
      </c>
      <c r="G1279">
        <v>0</v>
      </c>
    </row>
    <row r="1280" spans="2:7" x14ac:dyDescent="0.25">
      <c r="B1280" t="s">
        <v>149</v>
      </c>
      <c r="D1280" t="s">
        <v>696</v>
      </c>
      <c r="E1280" t="s">
        <v>149</v>
      </c>
      <c r="G1280">
        <v>0</v>
      </c>
    </row>
    <row r="1281" spans="2:7" x14ac:dyDescent="0.25">
      <c r="B1281" t="s">
        <v>149</v>
      </c>
      <c r="D1281" t="s">
        <v>696</v>
      </c>
      <c r="E1281" t="s">
        <v>149</v>
      </c>
      <c r="G1281">
        <v>0</v>
      </c>
    </row>
    <row r="1282" spans="2:7" x14ac:dyDescent="0.25">
      <c r="B1282" t="s">
        <v>149</v>
      </c>
      <c r="D1282" t="s">
        <v>696</v>
      </c>
      <c r="E1282" t="s">
        <v>149</v>
      </c>
      <c r="G1282">
        <v>0</v>
      </c>
    </row>
    <row r="1283" spans="2:7" x14ac:dyDescent="0.25">
      <c r="B1283" t="s">
        <v>149</v>
      </c>
      <c r="D1283" t="s">
        <v>696</v>
      </c>
      <c r="E1283" t="s">
        <v>149</v>
      </c>
      <c r="G1283">
        <v>0</v>
      </c>
    </row>
    <row r="1284" spans="2:7" x14ac:dyDescent="0.25">
      <c r="B1284" t="s">
        <v>149</v>
      </c>
      <c r="D1284" t="s">
        <v>696</v>
      </c>
      <c r="E1284" t="s">
        <v>149</v>
      </c>
      <c r="G1284">
        <v>0</v>
      </c>
    </row>
    <row r="1285" spans="2:7" x14ac:dyDescent="0.25">
      <c r="B1285" t="s">
        <v>149</v>
      </c>
      <c r="D1285" t="s">
        <v>696</v>
      </c>
      <c r="E1285" t="s">
        <v>149</v>
      </c>
      <c r="G1285">
        <v>0</v>
      </c>
    </row>
    <row r="1286" spans="2:7" x14ac:dyDescent="0.25">
      <c r="B1286" t="s">
        <v>149</v>
      </c>
      <c r="D1286" t="s">
        <v>696</v>
      </c>
      <c r="E1286" t="s">
        <v>149</v>
      </c>
      <c r="G1286">
        <v>0</v>
      </c>
    </row>
    <row r="1287" spans="2:7" x14ac:dyDescent="0.25">
      <c r="B1287" t="s">
        <v>149</v>
      </c>
      <c r="D1287" t="s">
        <v>696</v>
      </c>
      <c r="E1287" t="s">
        <v>149</v>
      </c>
      <c r="G1287">
        <v>0</v>
      </c>
    </row>
    <row r="1288" spans="2:7" x14ac:dyDescent="0.25">
      <c r="B1288" t="s">
        <v>149</v>
      </c>
      <c r="D1288" t="s">
        <v>696</v>
      </c>
      <c r="E1288" t="s">
        <v>149</v>
      </c>
      <c r="G1288">
        <v>0</v>
      </c>
    </row>
    <row r="1289" spans="2:7" x14ac:dyDescent="0.25">
      <c r="B1289" t="s">
        <v>149</v>
      </c>
      <c r="D1289" t="s">
        <v>696</v>
      </c>
      <c r="E1289" t="s">
        <v>149</v>
      </c>
      <c r="G1289">
        <v>0</v>
      </c>
    </row>
    <row r="1290" spans="2:7" x14ac:dyDescent="0.25">
      <c r="B1290" t="s">
        <v>149</v>
      </c>
      <c r="D1290" t="s">
        <v>696</v>
      </c>
      <c r="E1290" t="s">
        <v>149</v>
      </c>
      <c r="G1290">
        <v>0</v>
      </c>
    </row>
    <row r="1291" spans="2:7" x14ac:dyDescent="0.25">
      <c r="B1291" t="s">
        <v>149</v>
      </c>
      <c r="D1291" t="s">
        <v>696</v>
      </c>
      <c r="E1291" t="s">
        <v>149</v>
      </c>
      <c r="G1291">
        <v>0</v>
      </c>
    </row>
    <row r="1292" spans="2:7" x14ac:dyDescent="0.25">
      <c r="B1292" t="s">
        <v>149</v>
      </c>
      <c r="D1292" t="s">
        <v>696</v>
      </c>
      <c r="E1292" t="s">
        <v>149</v>
      </c>
      <c r="G1292">
        <v>0</v>
      </c>
    </row>
    <row r="1293" spans="2:7" x14ac:dyDescent="0.25">
      <c r="B1293" t="s">
        <v>149</v>
      </c>
      <c r="D1293" t="s">
        <v>696</v>
      </c>
      <c r="E1293" t="s">
        <v>149</v>
      </c>
      <c r="G1293">
        <v>0</v>
      </c>
    </row>
    <row r="1294" spans="2:7" x14ac:dyDescent="0.25">
      <c r="B1294" t="s">
        <v>149</v>
      </c>
      <c r="D1294" t="s">
        <v>696</v>
      </c>
      <c r="E1294" t="s">
        <v>149</v>
      </c>
      <c r="G1294">
        <v>0</v>
      </c>
    </row>
    <row r="1295" spans="2:7" x14ac:dyDescent="0.25">
      <c r="B1295" t="s">
        <v>149</v>
      </c>
      <c r="D1295" t="s">
        <v>696</v>
      </c>
      <c r="E1295" t="s">
        <v>149</v>
      </c>
      <c r="G1295">
        <v>0</v>
      </c>
    </row>
    <row r="1296" spans="2:7" x14ac:dyDescent="0.25">
      <c r="B1296" t="s">
        <v>149</v>
      </c>
      <c r="D1296" t="s">
        <v>696</v>
      </c>
      <c r="E1296" t="s">
        <v>149</v>
      </c>
      <c r="G1296">
        <v>0</v>
      </c>
    </row>
    <row r="1297" spans="2:7" x14ac:dyDescent="0.25">
      <c r="B1297" t="s">
        <v>149</v>
      </c>
      <c r="D1297" t="s">
        <v>696</v>
      </c>
      <c r="E1297" t="s">
        <v>149</v>
      </c>
      <c r="G1297">
        <v>0</v>
      </c>
    </row>
    <row r="1298" spans="2:7" x14ac:dyDescent="0.25">
      <c r="B1298" t="s">
        <v>149</v>
      </c>
      <c r="D1298" t="s">
        <v>696</v>
      </c>
      <c r="E1298" t="s">
        <v>149</v>
      </c>
      <c r="G1298">
        <v>0</v>
      </c>
    </row>
    <row r="1299" spans="2:7" x14ac:dyDescent="0.25">
      <c r="B1299" t="s">
        <v>149</v>
      </c>
      <c r="D1299" t="s">
        <v>696</v>
      </c>
      <c r="E1299" t="s">
        <v>149</v>
      </c>
      <c r="G1299">
        <v>0</v>
      </c>
    </row>
    <row r="1300" spans="2:7" x14ac:dyDescent="0.25">
      <c r="B1300" t="s">
        <v>149</v>
      </c>
      <c r="D1300" t="s">
        <v>696</v>
      </c>
      <c r="E1300" t="s">
        <v>149</v>
      </c>
      <c r="G1300">
        <v>0</v>
      </c>
    </row>
    <row r="1301" spans="2:7" x14ac:dyDescent="0.25">
      <c r="B1301" t="s">
        <v>149</v>
      </c>
      <c r="D1301" t="s">
        <v>696</v>
      </c>
      <c r="E1301" t="s">
        <v>149</v>
      </c>
      <c r="G1301">
        <v>0</v>
      </c>
    </row>
    <row r="1302" spans="2:7" x14ac:dyDescent="0.25">
      <c r="B1302" t="s">
        <v>149</v>
      </c>
      <c r="D1302" t="s">
        <v>696</v>
      </c>
      <c r="E1302" t="s">
        <v>149</v>
      </c>
      <c r="G1302">
        <v>0</v>
      </c>
    </row>
    <row r="1303" spans="2:7" x14ac:dyDescent="0.25">
      <c r="B1303" t="s">
        <v>149</v>
      </c>
      <c r="D1303" t="s">
        <v>696</v>
      </c>
      <c r="E1303" t="s">
        <v>149</v>
      </c>
      <c r="G1303">
        <v>0</v>
      </c>
    </row>
    <row r="1304" spans="2:7" x14ac:dyDescent="0.25">
      <c r="B1304" t="s">
        <v>149</v>
      </c>
      <c r="D1304" t="s">
        <v>696</v>
      </c>
      <c r="E1304" t="s">
        <v>149</v>
      </c>
      <c r="G1304">
        <v>0</v>
      </c>
    </row>
    <row r="1305" spans="2:7" x14ac:dyDescent="0.25">
      <c r="B1305" t="s">
        <v>149</v>
      </c>
      <c r="D1305" t="s">
        <v>696</v>
      </c>
      <c r="E1305" t="s">
        <v>149</v>
      </c>
      <c r="G1305">
        <v>0</v>
      </c>
    </row>
    <row r="1306" spans="2:7" x14ac:dyDescent="0.25">
      <c r="B1306" t="s">
        <v>149</v>
      </c>
      <c r="D1306" t="s">
        <v>696</v>
      </c>
      <c r="E1306" t="s">
        <v>149</v>
      </c>
      <c r="G1306">
        <v>0</v>
      </c>
    </row>
    <row r="1307" spans="2:7" x14ac:dyDescent="0.25">
      <c r="B1307" t="s">
        <v>149</v>
      </c>
      <c r="D1307" t="s">
        <v>696</v>
      </c>
      <c r="E1307" t="s">
        <v>149</v>
      </c>
      <c r="G1307">
        <v>0</v>
      </c>
    </row>
    <row r="1308" spans="2:7" x14ac:dyDescent="0.25">
      <c r="B1308" t="s">
        <v>149</v>
      </c>
      <c r="D1308" t="s">
        <v>696</v>
      </c>
      <c r="E1308" t="s">
        <v>149</v>
      </c>
      <c r="G1308">
        <v>0</v>
      </c>
    </row>
    <row r="1309" spans="2:7" x14ac:dyDescent="0.25">
      <c r="B1309" t="s">
        <v>149</v>
      </c>
      <c r="D1309" t="s">
        <v>696</v>
      </c>
      <c r="E1309" t="s">
        <v>149</v>
      </c>
      <c r="G1309">
        <v>0</v>
      </c>
    </row>
    <row r="1310" spans="2:7" x14ac:dyDescent="0.25">
      <c r="B1310" t="s">
        <v>149</v>
      </c>
      <c r="D1310" t="s">
        <v>696</v>
      </c>
      <c r="E1310" t="s">
        <v>149</v>
      </c>
      <c r="G1310">
        <v>0</v>
      </c>
    </row>
    <row r="1311" spans="2:7" x14ac:dyDescent="0.25">
      <c r="B1311" t="s">
        <v>149</v>
      </c>
      <c r="D1311" t="s">
        <v>696</v>
      </c>
      <c r="E1311" t="s">
        <v>149</v>
      </c>
      <c r="G1311">
        <v>0</v>
      </c>
    </row>
    <row r="1312" spans="2:7" x14ac:dyDescent="0.25">
      <c r="B1312" t="s">
        <v>149</v>
      </c>
      <c r="D1312" t="s">
        <v>696</v>
      </c>
      <c r="E1312" t="s">
        <v>149</v>
      </c>
      <c r="G1312">
        <v>0</v>
      </c>
    </row>
    <row r="1313" spans="2:7" x14ac:dyDescent="0.25">
      <c r="B1313" t="s">
        <v>149</v>
      </c>
      <c r="D1313" t="s">
        <v>696</v>
      </c>
      <c r="E1313" t="s">
        <v>149</v>
      </c>
      <c r="G1313">
        <v>0</v>
      </c>
    </row>
    <row r="1314" spans="2:7" x14ac:dyDescent="0.25">
      <c r="B1314" t="s">
        <v>149</v>
      </c>
      <c r="D1314" t="s">
        <v>696</v>
      </c>
      <c r="E1314" t="s">
        <v>149</v>
      </c>
      <c r="G1314">
        <v>0</v>
      </c>
    </row>
    <row r="1315" spans="2:7" x14ac:dyDescent="0.25">
      <c r="B1315" t="s">
        <v>149</v>
      </c>
      <c r="D1315" t="s">
        <v>696</v>
      </c>
      <c r="E1315" t="s">
        <v>149</v>
      </c>
      <c r="G1315">
        <v>0</v>
      </c>
    </row>
    <row r="1316" spans="2:7" x14ac:dyDescent="0.25">
      <c r="B1316" t="s">
        <v>149</v>
      </c>
      <c r="D1316" t="s">
        <v>696</v>
      </c>
      <c r="E1316" t="s">
        <v>149</v>
      </c>
      <c r="G1316">
        <v>0</v>
      </c>
    </row>
    <row r="1317" spans="2:7" x14ac:dyDescent="0.25">
      <c r="B1317" t="s">
        <v>149</v>
      </c>
      <c r="D1317" t="s">
        <v>696</v>
      </c>
      <c r="E1317" t="s">
        <v>149</v>
      </c>
      <c r="G1317">
        <v>0</v>
      </c>
    </row>
    <row r="1318" spans="2:7" x14ac:dyDescent="0.25">
      <c r="B1318" t="s">
        <v>149</v>
      </c>
      <c r="D1318" t="s">
        <v>696</v>
      </c>
      <c r="E1318" t="s">
        <v>149</v>
      </c>
      <c r="G1318">
        <v>0</v>
      </c>
    </row>
    <row r="1319" spans="2:7" x14ac:dyDescent="0.25">
      <c r="B1319" t="s">
        <v>149</v>
      </c>
      <c r="D1319" t="s">
        <v>696</v>
      </c>
      <c r="E1319" t="s">
        <v>149</v>
      </c>
      <c r="G1319">
        <v>0</v>
      </c>
    </row>
    <row r="1320" spans="2:7" x14ac:dyDescent="0.25">
      <c r="B1320" t="s">
        <v>149</v>
      </c>
      <c r="D1320" t="s">
        <v>696</v>
      </c>
      <c r="E1320" t="s">
        <v>149</v>
      </c>
      <c r="G1320">
        <v>0</v>
      </c>
    </row>
    <row r="1321" spans="2:7" x14ac:dyDescent="0.25">
      <c r="B1321" t="s">
        <v>149</v>
      </c>
      <c r="D1321" t="s">
        <v>696</v>
      </c>
      <c r="E1321" t="s">
        <v>149</v>
      </c>
      <c r="G1321">
        <v>0</v>
      </c>
    </row>
    <row r="1322" spans="2:7" x14ac:dyDescent="0.25">
      <c r="B1322" t="s">
        <v>149</v>
      </c>
      <c r="D1322" t="s">
        <v>696</v>
      </c>
      <c r="E1322" t="s">
        <v>149</v>
      </c>
      <c r="G1322">
        <v>0</v>
      </c>
    </row>
    <row r="1323" spans="2:7" x14ac:dyDescent="0.25">
      <c r="B1323" t="s">
        <v>149</v>
      </c>
      <c r="D1323" t="s">
        <v>696</v>
      </c>
      <c r="E1323" t="s">
        <v>149</v>
      </c>
      <c r="G1323">
        <v>0</v>
      </c>
    </row>
    <row r="1324" spans="2:7" x14ac:dyDescent="0.25">
      <c r="B1324" t="s">
        <v>149</v>
      </c>
      <c r="D1324" t="s">
        <v>696</v>
      </c>
      <c r="E1324" t="s">
        <v>149</v>
      </c>
      <c r="G1324">
        <v>0</v>
      </c>
    </row>
    <row r="1325" spans="2:7" x14ac:dyDescent="0.25">
      <c r="B1325" t="s">
        <v>149</v>
      </c>
      <c r="D1325" t="s">
        <v>696</v>
      </c>
      <c r="E1325" t="s">
        <v>149</v>
      </c>
      <c r="G1325">
        <v>0</v>
      </c>
    </row>
    <row r="1326" spans="2:7" x14ac:dyDescent="0.25">
      <c r="B1326" t="s">
        <v>149</v>
      </c>
      <c r="D1326" t="s">
        <v>696</v>
      </c>
      <c r="E1326" t="s">
        <v>149</v>
      </c>
      <c r="G1326">
        <v>0</v>
      </c>
    </row>
    <row r="1327" spans="2:7" x14ac:dyDescent="0.25">
      <c r="B1327" t="s">
        <v>149</v>
      </c>
      <c r="D1327" t="s">
        <v>696</v>
      </c>
      <c r="E1327" t="s">
        <v>149</v>
      </c>
      <c r="G1327">
        <v>0</v>
      </c>
    </row>
    <row r="1328" spans="2:7" x14ac:dyDescent="0.25">
      <c r="B1328" t="s">
        <v>149</v>
      </c>
      <c r="D1328" t="s">
        <v>696</v>
      </c>
      <c r="E1328" t="s">
        <v>149</v>
      </c>
      <c r="G1328">
        <v>0</v>
      </c>
    </row>
    <row r="1329" spans="2:7" x14ac:dyDescent="0.25">
      <c r="B1329" t="s">
        <v>149</v>
      </c>
      <c r="D1329" t="s">
        <v>696</v>
      </c>
      <c r="E1329" t="s">
        <v>149</v>
      </c>
      <c r="G1329">
        <v>0</v>
      </c>
    </row>
    <row r="1330" spans="2:7" x14ac:dyDescent="0.25">
      <c r="B1330" t="s">
        <v>149</v>
      </c>
      <c r="D1330" t="s">
        <v>696</v>
      </c>
      <c r="E1330" t="s">
        <v>149</v>
      </c>
      <c r="G1330">
        <v>0</v>
      </c>
    </row>
    <row r="1331" spans="2:7" x14ac:dyDescent="0.25">
      <c r="B1331" t="s">
        <v>149</v>
      </c>
      <c r="D1331" t="s">
        <v>696</v>
      </c>
      <c r="E1331" t="s">
        <v>149</v>
      </c>
      <c r="G1331">
        <v>0</v>
      </c>
    </row>
    <row r="1332" spans="2:7" x14ac:dyDescent="0.25">
      <c r="B1332" t="s">
        <v>149</v>
      </c>
      <c r="D1332" t="s">
        <v>696</v>
      </c>
      <c r="E1332" t="s">
        <v>149</v>
      </c>
      <c r="G1332">
        <v>0</v>
      </c>
    </row>
    <row r="1333" spans="2:7" x14ac:dyDescent="0.25">
      <c r="B1333" t="s">
        <v>149</v>
      </c>
      <c r="D1333" t="s">
        <v>696</v>
      </c>
      <c r="E1333" t="s">
        <v>149</v>
      </c>
      <c r="G1333">
        <v>0</v>
      </c>
    </row>
    <row r="1334" spans="2:7" x14ac:dyDescent="0.25">
      <c r="B1334" t="s">
        <v>149</v>
      </c>
      <c r="D1334" t="s">
        <v>696</v>
      </c>
      <c r="E1334" t="s">
        <v>149</v>
      </c>
      <c r="G1334">
        <v>0</v>
      </c>
    </row>
    <row r="1335" spans="2:7" x14ac:dyDescent="0.25">
      <c r="B1335" t="s">
        <v>149</v>
      </c>
      <c r="D1335" t="s">
        <v>696</v>
      </c>
      <c r="E1335" t="s">
        <v>149</v>
      </c>
      <c r="G1335">
        <v>0</v>
      </c>
    </row>
    <row r="1336" spans="2:7" x14ac:dyDescent="0.25">
      <c r="B1336" t="s">
        <v>149</v>
      </c>
      <c r="D1336" t="s">
        <v>696</v>
      </c>
      <c r="E1336" t="s">
        <v>149</v>
      </c>
      <c r="G1336">
        <v>0</v>
      </c>
    </row>
    <row r="1337" spans="2:7" x14ac:dyDescent="0.25">
      <c r="B1337" t="s">
        <v>149</v>
      </c>
      <c r="D1337" t="s">
        <v>696</v>
      </c>
      <c r="E1337" t="s">
        <v>149</v>
      </c>
      <c r="G1337">
        <v>0</v>
      </c>
    </row>
    <row r="1338" spans="2:7" x14ac:dyDescent="0.25">
      <c r="B1338" t="s">
        <v>149</v>
      </c>
      <c r="D1338" t="s">
        <v>696</v>
      </c>
      <c r="E1338" t="s">
        <v>149</v>
      </c>
      <c r="G1338">
        <v>0</v>
      </c>
    </row>
    <row r="1339" spans="2:7" x14ac:dyDescent="0.25">
      <c r="B1339" t="s">
        <v>149</v>
      </c>
      <c r="D1339" t="s">
        <v>696</v>
      </c>
      <c r="E1339" t="s">
        <v>149</v>
      </c>
      <c r="G1339">
        <v>0</v>
      </c>
    </row>
    <row r="1340" spans="2:7" x14ac:dyDescent="0.25">
      <c r="B1340" t="s">
        <v>149</v>
      </c>
      <c r="D1340" t="s">
        <v>696</v>
      </c>
      <c r="E1340" t="s">
        <v>149</v>
      </c>
      <c r="G1340">
        <v>0</v>
      </c>
    </row>
    <row r="1341" spans="2:7" x14ac:dyDescent="0.25">
      <c r="B1341" t="s">
        <v>149</v>
      </c>
      <c r="D1341" t="s">
        <v>696</v>
      </c>
      <c r="E1341" t="s">
        <v>149</v>
      </c>
      <c r="G1341">
        <v>0</v>
      </c>
    </row>
    <row r="1342" spans="2:7" x14ac:dyDescent="0.25">
      <c r="B1342" t="s">
        <v>149</v>
      </c>
      <c r="D1342" t="s">
        <v>696</v>
      </c>
      <c r="E1342" t="s">
        <v>149</v>
      </c>
      <c r="G1342">
        <v>0</v>
      </c>
    </row>
    <row r="1343" spans="2:7" x14ac:dyDescent="0.25">
      <c r="B1343" t="s">
        <v>149</v>
      </c>
      <c r="D1343" t="s">
        <v>696</v>
      </c>
      <c r="E1343" t="s">
        <v>149</v>
      </c>
      <c r="G1343">
        <v>0</v>
      </c>
    </row>
    <row r="1344" spans="2:7" x14ac:dyDescent="0.25">
      <c r="B1344" t="s">
        <v>149</v>
      </c>
      <c r="D1344" t="s">
        <v>696</v>
      </c>
      <c r="E1344" t="s">
        <v>149</v>
      </c>
      <c r="G1344">
        <v>0</v>
      </c>
    </row>
    <row r="1345" spans="2:7" x14ac:dyDescent="0.25">
      <c r="B1345" t="s">
        <v>149</v>
      </c>
      <c r="D1345" t="s">
        <v>696</v>
      </c>
      <c r="E1345" t="s">
        <v>149</v>
      </c>
      <c r="G1345">
        <v>0</v>
      </c>
    </row>
    <row r="1346" spans="2:7" x14ac:dyDescent="0.25">
      <c r="B1346" t="s">
        <v>149</v>
      </c>
      <c r="D1346" t="s">
        <v>696</v>
      </c>
      <c r="E1346" t="s">
        <v>149</v>
      </c>
      <c r="G1346">
        <v>0</v>
      </c>
    </row>
    <row r="1347" spans="2:7" x14ac:dyDescent="0.25">
      <c r="B1347" t="s">
        <v>149</v>
      </c>
      <c r="D1347" t="s">
        <v>696</v>
      </c>
      <c r="E1347" t="s">
        <v>149</v>
      </c>
      <c r="G1347">
        <v>0</v>
      </c>
    </row>
    <row r="1348" spans="2:7" x14ac:dyDescent="0.25">
      <c r="B1348" t="s">
        <v>149</v>
      </c>
      <c r="D1348" t="s">
        <v>696</v>
      </c>
      <c r="E1348" t="s">
        <v>149</v>
      </c>
      <c r="G1348">
        <v>0</v>
      </c>
    </row>
    <row r="1349" spans="2:7" x14ac:dyDescent="0.25">
      <c r="B1349" t="s">
        <v>149</v>
      </c>
      <c r="D1349" t="s">
        <v>696</v>
      </c>
      <c r="E1349" t="s">
        <v>149</v>
      </c>
      <c r="G1349">
        <v>0</v>
      </c>
    </row>
    <row r="1350" spans="2:7" x14ac:dyDescent="0.25">
      <c r="B1350" t="s">
        <v>149</v>
      </c>
      <c r="D1350" t="s">
        <v>696</v>
      </c>
      <c r="E1350" t="s">
        <v>149</v>
      </c>
      <c r="G1350">
        <v>0</v>
      </c>
    </row>
    <row r="1351" spans="2:7" x14ac:dyDescent="0.25">
      <c r="B1351" t="s">
        <v>149</v>
      </c>
      <c r="D1351" t="s">
        <v>696</v>
      </c>
      <c r="E1351" t="s">
        <v>149</v>
      </c>
      <c r="G1351">
        <v>0</v>
      </c>
    </row>
    <row r="1352" spans="2:7" x14ac:dyDescent="0.25">
      <c r="B1352" t="s">
        <v>149</v>
      </c>
      <c r="D1352" t="s">
        <v>696</v>
      </c>
      <c r="E1352" t="s">
        <v>149</v>
      </c>
      <c r="G1352">
        <v>0</v>
      </c>
    </row>
    <row r="1353" spans="2:7" x14ac:dyDescent="0.25">
      <c r="B1353" t="s">
        <v>149</v>
      </c>
      <c r="D1353" t="s">
        <v>696</v>
      </c>
      <c r="E1353" t="s">
        <v>149</v>
      </c>
      <c r="G1353">
        <v>0</v>
      </c>
    </row>
    <row r="1354" spans="2:7" x14ac:dyDescent="0.25">
      <c r="B1354" t="s">
        <v>149</v>
      </c>
      <c r="D1354" t="s">
        <v>696</v>
      </c>
      <c r="E1354" t="s">
        <v>149</v>
      </c>
      <c r="G1354">
        <v>0</v>
      </c>
    </row>
    <row r="1355" spans="2:7" x14ac:dyDescent="0.25">
      <c r="B1355" t="s">
        <v>149</v>
      </c>
      <c r="D1355" t="s">
        <v>696</v>
      </c>
      <c r="E1355" t="s">
        <v>149</v>
      </c>
      <c r="G1355">
        <v>0</v>
      </c>
    </row>
    <row r="1356" spans="2:7" x14ac:dyDescent="0.25">
      <c r="B1356" t="s">
        <v>149</v>
      </c>
      <c r="D1356" t="s">
        <v>696</v>
      </c>
      <c r="E1356" t="s">
        <v>149</v>
      </c>
      <c r="G1356">
        <v>0</v>
      </c>
    </row>
    <row r="1357" spans="2:7" x14ac:dyDescent="0.25">
      <c r="B1357" t="s">
        <v>149</v>
      </c>
      <c r="D1357" t="s">
        <v>696</v>
      </c>
      <c r="E1357" t="s">
        <v>149</v>
      </c>
      <c r="G1357">
        <v>0</v>
      </c>
    </row>
    <row r="1358" spans="2:7" x14ac:dyDescent="0.25">
      <c r="B1358" t="s">
        <v>149</v>
      </c>
      <c r="D1358" t="s">
        <v>696</v>
      </c>
      <c r="E1358" t="s">
        <v>149</v>
      </c>
      <c r="G1358">
        <v>0</v>
      </c>
    </row>
    <row r="1359" spans="2:7" x14ac:dyDescent="0.25">
      <c r="B1359" t="s">
        <v>149</v>
      </c>
      <c r="D1359" t="s">
        <v>696</v>
      </c>
      <c r="E1359" t="s">
        <v>149</v>
      </c>
      <c r="G1359">
        <v>0</v>
      </c>
    </row>
    <row r="1360" spans="2:7" x14ac:dyDescent="0.25">
      <c r="B1360" t="s">
        <v>149</v>
      </c>
      <c r="D1360" t="s">
        <v>696</v>
      </c>
      <c r="E1360" t="s">
        <v>149</v>
      </c>
      <c r="G1360">
        <v>0</v>
      </c>
    </row>
    <row r="1361" spans="2:7" x14ac:dyDescent="0.25">
      <c r="B1361" t="s">
        <v>149</v>
      </c>
      <c r="D1361" t="s">
        <v>696</v>
      </c>
      <c r="E1361" t="s">
        <v>149</v>
      </c>
      <c r="G1361">
        <v>0</v>
      </c>
    </row>
    <row r="1362" spans="2:7" x14ac:dyDescent="0.25">
      <c r="B1362" t="s">
        <v>149</v>
      </c>
      <c r="D1362" t="s">
        <v>696</v>
      </c>
      <c r="E1362" t="s">
        <v>149</v>
      </c>
      <c r="G1362">
        <v>0</v>
      </c>
    </row>
    <row r="1363" spans="2:7" x14ac:dyDescent="0.25">
      <c r="B1363" t="s">
        <v>149</v>
      </c>
      <c r="D1363" t="s">
        <v>696</v>
      </c>
      <c r="E1363" t="s">
        <v>149</v>
      </c>
      <c r="G1363">
        <v>0</v>
      </c>
    </row>
    <row r="1364" spans="2:7" x14ac:dyDescent="0.25">
      <c r="B1364" t="s">
        <v>149</v>
      </c>
      <c r="D1364" t="s">
        <v>696</v>
      </c>
      <c r="E1364" t="s">
        <v>149</v>
      </c>
      <c r="G1364">
        <v>0</v>
      </c>
    </row>
    <row r="1365" spans="2:7" x14ac:dyDescent="0.25">
      <c r="B1365" t="s">
        <v>149</v>
      </c>
      <c r="D1365" t="s">
        <v>696</v>
      </c>
      <c r="E1365" t="s">
        <v>149</v>
      </c>
      <c r="G1365">
        <v>0</v>
      </c>
    </row>
    <row r="1366" spans="2:7" x14ac:dyDescent="0.25">
      <c r="B1366" t="s">
        <v>149</v>
      </c>
      <c r="D1366" t="s">
        <v>696</v>
      </c>
      <c r="E1366" t="s">
        <v>149</v>
      </c>
      <c r="G1366">
        <v>0</v>
      </c>
    </row>
    <row r="1367" spans="2:7" x14ac:dyDescent="0.25">
      <c r="B1367" t="s">
        <v>149</v>
      </c>
      <c r="D1367" t="s">
        <v>696</v>
      </c>
      <c r="E1367" t="s">
        <v>149</v>
      </c>
      <c r="G1367">
        <v>0</v>
      </c>
    </row>
    <row r="1368" spans="2:7" x14ac:dyDescent="0.25">
      <c r="B1368" t="s">
        <v>149</v>
      </c>
      <c r="D1368" t="s">
        <v>696</v>
      </c>
      <c r="E1368" t="s">
        <v>149</v>
      </c>
      <c r="G1368">
        <v>0</v>
      </c>
    </row>
    <row r="1369" spans="2:7" x14ac:dyDescent="0.25">
      <c r="B1369" t="s">
        <v>149</v>
      </c>
      <c r="D1369" t="s">
        <v>696</v>
      </c>
      <c r="E1369" t="s">
        <v>149</v>
      </c>
      <c r="G1369">
        <v>0</v>
      </c>
    </row>
    <row r="1370" spans="2:7" x14ac:dyDescent="0.25">
      <c r="B1370" t="s">
        <v>149</v>
      </c>
      <c r="D1370" t="s">
        <v>696</v>
      </c>
      <c r="E1370" t="s">
        <v>149</v>
      </c>
      <c r="G1370">
        <v>0</v>
      </c>
    </row>
    <row r="1371" spans="2:7" x14ac:dyDescent="0.25">
      <c r="B1371" t="s">
        <v>149</v>
      </c>
      <c r="D1371" t="s">
        <v>696</v>
      </c>
      <c r="E1371" t="s">
        <v>149</v>
      </c>
      <c r="G1371">
        <v>0</v>
      </c>
    </row>
    <row r="1372" spans="2:7" x14ac:dyDescent="0.25">
      <c r="B1372" t="s">
        <v>149</v>
      </c>
      <c r="D1372" t="s">
        <v>696</v>
      </c>
      <c r="E1372" t="s">
        <v>149</v>
      </c>
      <c r="G1372">
        <v>0</v>
      </c>
    </row>
    <row r="1373" spans="2:7" x14ac:dyDescent="0.25">
      <c r="B1373" t="s">
        <v>149</v>
      </c>
      <c r="D1373" t="s">
        <v>696</v>
      </c>
      <c r="E1373" t="s">
        <v>149</v>
      </c>
      <c r="G1373">
        <v>0</v>
      </c>
    </row>
    <row r="1374" spans="2:7" x14ac:dyDescent="0.25">
      <c r="B1374" t="s">
        <v>149</v>
      </c>
      <c r="D1374" t="s">
        <v>696</v>
      </c>
      <c r="E1374" t="s">
        <v>149</v>
      </c>
      <c r="G1374">
        <v>0</v>
      </c>
    </row>
    <row r="1375" spans="2:7" x14ac:dyDescent="0.25">
      <c r="B1375" t="s">
        <v>149</v>
      </c>
      <c r="D1375" t="s">
        <v>696</v>
      </c>
      <c r="E1375" t="s">
        <v>149</v>
      </c>
      <c r="G1375">
        <v>0</v>
      </c>
    </row>
    <row r="1376" spans="2:7" x14ac:dyDescent="0.25">
      <c r="B1376" t="s">
        <v>149</v>
      </c>
      <c r="D1376" t="s">
        <v>696</v>
      </c>
      <c r="E1376" t="s">
        <v>149</v>
      </c>
      <c r="G1376">
        <v>0</v>
      </c>
    </row>
    <row r="1377" spans="2:7" x14ac:dyDescent="0.25">
      <c r="B1377" t="s">
        <v>149</v>
      </c>
      <c r="D1377" t="s">
        <v>696</v>
      </c>
      <c r="E1377" t="s">
        <v>149</v>
      </c>
      <c r="G1377">
        <v>0</v>
      </c>
    </row>
    <row r="1378" spans="2:7" x14ac:dyDescent="0.25">
      <c r="B1378" t="s">
        <v>149</v>
      </c>
      <c r="D1378" t="s">
        <v>696</v>
      </c>
      <c r="E1378" t="s">
        <v>149</v>
      </c>
      <c r="G1378">
        <v>0</v>
      </c>
    </row>
    <row r="1379" spans="2:7" x14ac:dyDescent="0.25">
      <c r="B1379" t="s">
        <v>149</v>
      </c>
      <c r="D1379" t="s">
        <v>696</v>
      </c>
      <c r="E1379" t="s">
        <v>149</v>
      </c>
      <c r="G1379">
        <v>0</v>
      </c>
    </row>
    <row r="1380" spans="2:7" x14ac:dyDescent="0.25">
      <c r="B1380" t="s">
        <v>149</v>
      </c>
      <c r="D1380" t="s">
        <v>696</v>
      </c>
      <c r="E1380" t="s">
        <v>149</v>
      </c>
      <c r="G1380">
        <v>0</v>
      </c>
    </row>
    <row r="1381" spans="2:7" x14ac:dyDescent="0.25">
      <c r="B1381" t="s">
        <v>149</v>
      </c>
      <c r="D1381" t="s">
        <v>696</v>
      </c>
      <c r="E1381" t="s">
        <v>149</v>
      </c>
      <c r="G1381">
        <v>0</v>
      </c>
    </row>
    <row r="1382" spans="2:7" x14ac:dyDescent="0.25">
      <c r="B1382" t="s">
        <v>149</v>
      </c>
      <c r="D1382" t="s">
        <v>696</v>
      </c>
      <c r="E1382" t="s">
        <v>149</v>
      </c>
      <c r="G1382">
        <v>0</v>
      </c>
    </row>
    <row r="1383" spans="2:7" x14ac:dyDescent="0.25">
      <c r="B1383" t="s">
        <v>149</v>
      </c>
      <c r="D1383" t="s">
        <v>696</v>
      </c>
      <c r="E1383" t="s">
        <v>149</v>
      </c>
      <c r="G1383">
        <v>0</v>
      </c>
    </row>
    <row r="1384" spans="2:7" x14ac:dyDescent="0.25">
      <c r="B1384" t="s">
        <v>149</v>
      </c>
      <c r="D1384" t="s">
        <v>696</v>
      </c>
      <c r="E1384" t="s">
        <v>149</v>
      </c>
      <c r="G1384">
        <v>0</v>
      </c>
    </row>
    <row r="1385" spans="2:7" x14ac:dyDescent="0.25">
      <c r="B1385" t="s">
        <v>149</v>
      </c>
      <c r="D1385" t="s">
        <v>696</v>
      </c>
      <c r="E1385" t="s">
        <v>149</v>
      </c>
      <c r="G1385">
        <v>0</v>
      </c>
    </row>
    <row r="1386" spans="2:7" x14ac:dyDescent="0.25">
      <c r="B1386" t="s">
        <v>149</v>
      </c>
      <c r="D1386" t="s">
        <v>696</v>
      </c>
      <c r="E1386" t="s">
        <v>149</v>
      </c>
      <c r="G1386">
        <v>0</v>
      </c>
    </row>
    <row r="1387" spans="2:7" x14ac:dyDescent="0.25">
      <c r="B1387" t="s">
        <v>149</v>
      </c>
      <c r="D1387" t="s">
        <v>696</v>
      </c>
      <c r="E1387" t="s">
        <v>149</v>
      </c>
      <c r="G1387">
        <v>0</v>
      </c>
    </row>
    <row r="1388" spans="2:7" x14ac:dyDescent="0.25">
      <c r="B1388" t="s">
        <v>149</v>
      </c>
      <c r="D1388" t="s">
        <v>696</v>
      </c>
      <c r="E1388" t="s">
        <v>149</v>
      </c>
      <c r="G1388">
        <v>0</v>
      </c>
    </row>
    <row r="1389" spans="2:7" x14ac:dyDescent="0.25">
      <c r="B1389" t="s">
        <v>149</v>
      </c>
      <c r="D1389" t="s">
        <v>696</v>
      </c>
      <c r="E1389" t="s">
        <v>149</v>
      </c>
      <c r="G1389">
        <v>0</v>
      </c>
    </row>
    <row r="1390" spans="2:7" x14ac:dyDescent="0.25">
      <c r="B1390" t="s">
        <v>149</v>
      </c>
      <c r="D1390" t="s">
        <v>696</v>
      </c>
      <c r="E1390" t="s">
        <v>149</v>
      </c>
      <c r="G1390">
        <v>0</v>
      </c>
    </row>
    <row r="1391" spans="2:7" x14ac:dyDescent="0.25">
      <c r="B1391" t="s">
        <v>149</v>
      </c>
      <c r="D1391" t="s">
        <v>696</v>
      </c>
      <c r="E1391" t="s">
        <v>149</v>
      </c>
      <c r="G1391">
        <v>0</v>
      </c>
    </row>
    <row r="1392" spans="2:7" x14ac:dyDescent="0.25">
      <c r="B1392" t="s">
        <v>149</v>
      </c>
      <c r="D1392" t="s">
        <v>696</v>
      </c>
      <c r="E1392" t="s">
        <v>149</v>
      </c>
      <c r="G1392">
        <v>0</v>
      </c>
    </row>
    <row r="1393" spans="2:7" x14ac:dyDescent="0.25">
      <c r="B1393" t="s">
        <v>149</v>
      </c>
      <c r="D1393" t="s">
        <v>696</v>
      </c>
      <c r="E1393" t="s">
        <v>149</v>
      </c>
      <c r="G1393">
        <v>0</v>
      </c>
    </row>
    <row r="1394" spans="2:7" x14ac:dyDescent="0.25">
      <c r="B1394" t="s">
        <v>149</v>
      </c>
      <c r="D1394" t="s">
        <v>696</v>
      </c>
      <c r="E1394" t="s">
        <v>149</v>
      </c>
      <c r="G1394">
        <v>0</v>
      </c>
    </row>
    <row r="1395" spans="2:7" x14ac:dyDescent="0.25">
      <c r="B1395" t="s">
        <v>149</v>
      </c>
      <c r="D1395" t="s">
        <v>696</v>
      </c>
      <c r="E1395" t="s">
        <v>149</v>
      </c>
      <c r="G1395">
        <v>0</v>
      </c>
    </row>
    <row r="1396" spans="2:7" x14ac:dyDescent="0.25">
      <c r="B1396" t="s">
        <v>149</v>
      </c>
      <c r="D1396" t="s">
        <v>696</v>
      </c>
      <c r="E1396" t="s">
        <v>149</v>
      </c>
      <c r="G1396">
        <v>0</v>
      </c>
    </row>
    <row r="1397" spans="2:7" x14ac:dyDescent="0.25">
      <c r="B1397" t="s">
        <v>149</v>
      </c>
      <c r="D1397" t="s">
        <v>696</v>
      </c>
      <c r="E1397" t="s">
        <v>149</v>
      </c>
      <c r="G1397">
        <v>0</v>
      </c>
    </row>
    <row r="1398" spans="2:7" x14ac:dyDescent="0.25">
      <c r="B1398" t="s">
        <v>149</v>
      </c>
      <c r="D1398" t="s">
        <v>696</v>
      </c>
      <c r="E1398" t="s">
        <v>149</v>
      </c>
      <c r="G1398">
        <v>0</v>
      </c>
    </row>
    <row r="1399" spans="2:7" x14ac:dyDescent="0.25">
      <c r="B1399" t="s">
        <v>149</v>
      </c>
      <c r="D1399" t="s">
        <v>696</v>
      </c>
      <c r="E1399" t="s">
        <v>149</v>
      </c>
      <c r="G1399">
        <v>0</v>
      </c>
    </row>
    <row r="1400" spans="2:7" x14ac:dyDescent="0.25">
      <c r="B1400" t="s">
        <v>149</v>
      </c>
      <c r="D1400" t="s">
        <v>696</v>
      </c>
      <c r="E1400" t="s">
        <v>149</v>
      </c>
      <c r="G1400">
        <v>0</v>
      </c>
    </row>
    <row r="1401" spans="2:7" x14ac:dyDescent="0.25">
      <c r="B1401" t="s">
        <v>149</v>
      </c>
      <c r="D1401" t="s">
        <v>696</v>
      </c>
      <c r="E1401" t="s">
        <v>149</v>
      </c>
      <c r="G1401">
        <v>0</v>
      </c>
    </row>
    <row r="1402" spans="2:7" x14ac:dyDescent="0.25">
      <c r="B1402" t="s">
        <v>149</v>
      </c>
      <c r="D1402" t="s">
        <v>696</v>
      </c>
      <c r="E1402" t="s">
        <v>149</v>
      </c>
      <c r="G1402">
        <v>0</v>
      </c>
    </row>
    <row r="1403" spans="2:7" x14ac:dyDescent="0.25">
      <c r="B1403" t="s">
        <v>149</v>
      </c>
      <c r="D1403" t="s">
        <v>696</v>
      </c>
      <c r="E1403" t="s">
        <v>149</v>
      </c>
      <c r="G1403">
        <v>0</v>
      </c>
    </row>
    <row r="1404" spans="2:7" x14ac:dyDescent="0.25">
      <c r="B1404" t="s">
        <v>149</v>
      </c>
      <c r="D1404" t="s">
        <v>696</v>
      </c>
      <c r="E1404" t="s">
        <v>149</v>
      </c>
      <c r="G1404">
        <v>0</v>
      </c>
    </row>
    <row r="1405" spans="2:7" x14ac:dyDescent="0.25">
      <c r="B1405" t="s">
        <v>149</v>
      </c>
      <c r="D1405" t="s">
        <v>696</v>
      </c>
      <c r="E1405" t="s">
        <v>149</v>
      </c>
      <c r="G1405">
        <v>0</v>
      </c>
    </row>
    <row r="1406" spans="2:7" x14ac:dyDescent="0.25">
      <c r="B1406" t="s">
        <v>149</v>
      </c>
      <c r="D1406" t="s">
        <v>696</v>
      </c>
      <c r="E1406" t="s">
        <v>149</v>
      </c>
      <c r="G1406">
        <v>0</v>
      </c>
    </row>
    <row r="1407" spans="2:7" x14ac:dyDescent="0.25">
      <c r="B1407" t="s">
        <v>149</v>
      </c>
      <c r="D1407" t="s">
        <v>696</v>
      </c>
      <c r="E1407" t="s">
        <v>149</v>
      </c>
      <c r="G1407">
        <v>0</v>
      </c>
    </row>
    <row r="1408" spans="2:7" x14ac:dyDescent="0.25">
      <c r="B1408" t="s">
        <v>149</v>
      </c>
      <c r="D1408" t="s">
        <v>696</v>
      </c>
      <c r="E1408" t="s">
        <v>149</v>
      </c>
      <c r="G1408">
        <v>0</v>
      </c>
    </row>
    <row r="1409" spans="2:7" x14ac:dyDescent="0.25">
      <c r="B1409" t="s">
        <v>149</v>
      </c>
      <c r="D1409" t="s">
        <v>696</v>
      </c>
      <c r="E1409" t="s">
        <v>149</v>
      </c>
      <c r="G1409">
        <v>0</v>
      </c>
    </row>
    <row r="1410" spans="2:7" x14ac:dyDescent="0.25">
      <c r="B1410" t="s">
        <v>149</v>
      </c>
      <c r="D1410" t="s">
        <v>696</v>
      </c>
      <c r="E1410" t="s">
        <v>149</v>
      </c>
      <c r="G1410">
        <v>0</v>
      </c>
    </row>
    <row r="1411" spans="2:7" x14ac:dyDescent="0.25">
      <c r="B1411" t="s">
        <v>149</v>
      </c>
      <c r="D1411" t="s">
        <v>696</v>
      </c>
      <c r="E1411" t="s">
        <v>149</v>
      </c>
      <c r="G1411">
        <v>0</v>
      </c>
    </row>
    <row r="1412" spans="2:7" x14ac:dyDescent="0.25">
      <c r="B1412" t="s">
        <v>149</v>
      </c>
      <c r="D1412" t="s">
        <v>696</v>
      </c>
      <c r="E1412" t="s">
        <v>149</v>
      </c>
      <c r="G1412">
        <v>0</v>
      </c>
    </row>
    <row r="1413" spans="2:7" x14ac:dyDescent="0.25">
      <c r="B1413" t="s">
        <v>149</v>
      </c>
      <c r="D1413" t="s">
        <v>696</v>
      </c>
      <c r="E1413" t="s">
        <v>149</v>
      </c>
      <c r="G1413">
        <v>0</v>
      </c>
    </row>
    <row r="1414" spans="2:7" x14ac:dyDescent="0.25">
      <c r="B1414" t="s">
        <v>149</v>
      </c>
      <c r="D1414" t="s">
        <v>696</v>
      </c>
      <c r="E1414" t="s">
        <v>149</v>
      </c>
      <c r="G1414">
        <v>0</v>
      </c>
    </row>
    <row r="1415" spans="2:7" x14ac:dyDescent="0.25">
      <c r="B1415" t="s">
        <v>149</v>
      </c>
      <c r="D1415" t="s">
        <v>696</v>
      </c>
      <c r="E1415" t="s">
        <v>149</v>
      </c>
      <c r="G1415">
        <v>0</v>
      </c>
    </row>
    <row r="1416" spans="2:7" x14ac:dyDescent="0.25">
      <c r="B1416" t="s">
        <v>149</v>
      </c>
      <c r="D1416" t="s">
        <v>696</v>
      </c>
      <c r="E1416" t="s">
        <v>149</v>
      </c>
      <c r="G1416">
        <v>0</v>
      </c>
    </row>
    <row r="1417" spans="2:7" x14ac:dyDescent="0.25">
      <c r="B1417" t="s">
        <v>149</v>
      </c>
      <c r="D1417" t="s">
        <v>696</v>
      </c>
      <c r="E1417" t="s">
        <v>149</v>
      </c>
      <c r="G1417">
        <v>0</v>
      </c>
    </row>
    <row r="1418" spans="2:7" x14ac:dyDescent="0.25">
      <c r="B1418" t="s">
        <v>149</v>
      </c>
      <c r="D1418" t="s">
        <v>696</v>
      </c>
      <c r="E1418" t="s">
        <v>149</v>
      </c>
      <c r="G1418">
        <v>0</v>
      </c>
    </row>
    <row r="1419" spans="2:7" x14ac:dyDescent="0.25">
      <c r="B1419" t="s">
        <v>149</v>
      </c>
      <c r="D1419" t="s">
        <v>696</v>
      </c>
      <c r="E1419" t="s">
        <v>149</v>
      </c>
      <c r="G1419">
        <v>0</v>
      </c>
    </row>
    <row r="1420" spans="2:7" x14ac:dyDescent="0.25">
      <c r="B1420" t="s">
        <v>149</v>
      </c>
      <c r="D1420" t="s">
        <v>696</v>
      </c>
      <c r="E1420" t="s">
        <v>149</v>
      </c>
      <c r="G1420">
        <v>0</v>
      </c>
    </row>
    <row r="1421" spans="2:7" x14ac:dyDescent="0.25">
      <c r="B1421" t="s">
        <v>149</v>
      </c>
      <c r="D1421" t="s">
        <v>696</v>
      </c>
      <c r="E1421" t="s">
        <v>149</v>
      </c>
      <c r="G1421">
        <v>0</v>
      </c>
    </row>
    <row r="1422" spans="2:7" x14ac:dyDescent="0.25">
      <c r="B1422" t="s">
        <v>149</v>
      </c>
      <c r="D1422" t="s">
        <v>696</v>
      </c>
      <c r="E1422" t="s">
        <v>149</v>
      </c>
      <c r="G1422">
        <v>0</v>
      </c>
    </row>
    <row r="1423" spans="2:7" x14ac:dyDescent="0.25">
      <c r="B1423" t="s">
        <v>149</v>
      </c>
      <c r="D1423" t="s">
        <v>696</v>
      </c>
      <c r="E1423" t="s">
        <v>149</v>
      </c>
      <c r="G1423">
        <v>0</v>
      </c>
    </row>
    <row r="1424" spans="2:7" x14ac:dyDescent="0.25">
      <c r="B1424" t="s">
        <v>149</v>
      </c>
      <c r="D1424" t="s">
        <v>696</v>
      </c>
      <c r="E1424" t="s">
        <v>149</v>
      </c>
      <c r="G1424">
        <v>0</v>
      </c>
    </row>
    <row r="1425" spans="2:7" x14ac:dyDescent="0.25">
      <c r="B1425" t="s">
        <v>149</v>
      </c>
      <c r="D1425" t="s">
        <v>696</v>
      </c>
      <c r="E1425" t="s">
        <v>149</v>
      </c>
      <c r="G1425">
        <v>0</v>
      </c>
    </row>
    <row r="1426" spans="2:7" x14ac:dyDescent="0.25">
      <c r="B1426" t="s">
        <v>149</v>
      </c>
      <c r="D1426" t="s">
        <v>696</v>
      </c>
      <c r="E1426" t="s">
        <v>149</v>
      </c>
      <c r="G1426">
        <v>0</v>
      </c>
    </row>
    <row r="1427" spans="2:7" x14ac:dyDescent="0.25">
      <c r="B1427" t="s">
        <v>149</v>
      </c>
      <c r="D1427" t="s">
        <v>696</v>
      </c>
      <c r="E1427" t="s">
        <v>149</v>
      </c>
      <c r="G1427">
        <v>0</v>
      </c>
    </row>
    <row r="1428" spans="2:7" x14ac:dyDescent="0.25">
      <c r="B1428" t="s">
        <v>149</v>
      </c>
      <c r="D1428" t="s">
        <v>696</v>
      </c>
      <c r="E1428" t="s">
        <v>149</v>
      </c>
      <c r="G1428">
        <v>0</v>
      </c>
    </row>
    <row r="1429" spans="2:7" x14ac:dyDescent="0.25">
      <c r="B1429" t="s">
        <v>149</v>
      </c>
      <c r="D1429" t="s">
        <v>696</v>
      </c>
      <c r="E1429" t="s">
        <v>149</v>
      </c>
      <c r="G1429">
        <v>0</v>
      </c>
    </row>
    <row r="1430" spans="2:7" x14ac:dyDescent="0.25">
      <c r="B1430" t="s">
        <v>149</v>
      </c>
      <c r="D1430" t="s">
        <v>696</v>
      </c>
      <c r="E1430" t="s">
        <v>149</v>
      </c>
      <c r="G1430">
        <v>0</v>
      </c>
    </row>
    <row r="1431" spans="2:7" x14ac:dyDescent="0.25">
      <c r="B1431" t="s">
        <v>149</v>
      </c>
      <c r="D1431" t="s">
        <v>696</v>
      </c>
      <c r="E1431" t="s">
        <v>149</v>
      </c>
      <c r="G1431">
        <v>0</v>
      </c>
    </row>
    <row r="1432" spans="2:7" x14ac:dyDescent="0.25">
      <c r="B1432" t="s">
        <v>149</v>
      </c>
      <c r="D1432" t="s">
        <v>696</v>
      </c>
      <c r="E1432" t="s">
        <v>149</v>
      </c>
      <c r="G1432">
        <v>0</v>
      </c>
    </row>
    <row r="1433" spans="2:7" x14ac:dyDescent="0.25">
      <c r="B1433" t="s">
        <v>149</v>
      </c>
      <c r="D1433" t="s">
        <v>696</v>
      </c>
      <c r="E1433" t="s">
        <v>149</v>
      </c>
      <c r="G1433">
        <v>0</v>
      </c>
    </row>
    <row r="1434" spans="2:7" x14ac:dyDescent="0.25">
      <c r="B1434" t="s">
        <v>149</v>
      </c>
      <c r="D1434" t="s">
        <v>696</v>
      </c>
      <c r="E1434" t="s">
        <v>149</v>
      </c>
      <c r="G1434">
        <v>0</v>
      </c>
    </row>
    <row r="1435" spans="2:7" x14ac:dyDescent="0.25">
      <c r="B1435" t="s">
        <v>149</v>
      </c>
      <c r="D1435" t="s">
        <v>696</v>
      </c>
      <c r="E1435" t="s">
        <v>149</v>
      </c>
      <c r="G1435">
        <v>0</v>
      </c>
    </row>
    <row r="1436" spans="2:7" x14ac:dyDescent="0.25">
      <c r="B1436" t="s">
        <v>149</v>
      </c>
      <c r="D1436" t="s">
        <v>696</v>
      </c>
      <c r="E1436" t="s">
        <v>149</v>
      </c>
      <c r="G1436">
        <v>0</v>
      </c>
    </row>
    <row r="1437" spans="2:7" x14ac:dyDescent="0.25">
      <c r="B1437" t="s">
        <v>149</v>
      </c>
      <c r="D1437" t="s">
        <v>696</v>
      </c>
      <c r="E1437" t="s">
        <v>149</v>
      </c>
      <c r="G1437">
        <v>0</v>
      </c>
    </row>
    <row r="1438" spans="2:7" x14ac:dyDescent="0.25">
      <c r="B1438" t="s">
        <v>149</v>
      </c>
      <c r="D1438" t="s">
        <v>696</v>
      </c>
      <c r="E1438" t="s">
        <v>149</v>
      </c>
      <c r="G1438">
        <v>0</v>
      </c>
    </row>
    <row r="1439" spans="2:7" x14ac:dyDescent="0.25">
      <c r="B1439" t="s">
        <v>149</v>
      </c>
      <c r="D1439" t="s">
        <v>696</v>
      </c>
      <c r="E1439" t="s">
        <v>149</v>
      </c>
      <c r="G1439">
        <v>0</v>
      </c>
    </row>
    <row r="1440" spans="2:7" x14ac:dyDescent="0.25">
      <c r="B1440" t="s">
        <v>149</v>
      </c>
      <c r="D1440" t="s">
        <v>696</v>
      </c>
      <c r="E1440" t="s">
        <v>149</v>
      </c>
      <c r="G1440">
        <v>0</v>
      </c>
    </row>
    <row r="1441" spans="2:7" x14ac:dyDescent="0.25">
      <c r="B1441" t="s">
        <v>149</v>
      </c>
      <c r="D1441" t="s">
        <v>696</v>
      </c>
      <c r="E1441" t="s">
        <v>149</v>
      </c>
      <c r="G1441">
        <v>0</v>
      </c>
    </row>
    <row r="1442" spans="2:7" x14ac:dyDescent="0.25">
      <c r="B1442" t="s">
        <v>149</v>
      </c>
      <c r="D1442" t="s">
        <v>696</v>
      </c>
      <c r="E1442" t="s">
        <v>149</v>
      </c>
      <c r="G1442">
        <v>0</v>
      </c>
    </row>
    <row r="1443" spans="2:7" x14ac:dyDescent="0.25">
      <c r="B1443" t="s">
        <v>149</v>
      </c>
      <c r="D1443" t="s">
        <v>696</v>
      </c>
      <c r="E1443" t="s">
        <v>149</v>
      </c>
      <c r="G1443">
        <v>0</v>
      </c>
    </row>
    <row r="1444" spans="2:7" x14ac:dyDescent="0.25">
      <c r="B1444" t="s">
        <v>149</v>
      </c>
      <c r="D1444" t="s">
        <v>696</v>
      </c>
      <c r="E1444" t="s">
        <v>149</v>
      </c>
      <c r="G1444">
        <v>0</v>
      </c>
    </row>
    <row r="1445" spans="2:7" x14ac:dyDescent="0.25">
      <c r="B1445" t="s">
        <v>149</v>
      </c>
      <c r="D1445" t="s">
        <v>696</v>
      </c>
      <c r="E1445" t="s">
        <v>149</v>
      </c>
      <c r="G1445">
        <v>0</v>
      </c>
    </row>
    <row r="1446" spans="2:7" x14ac:dyDescent="0.25">
      <c r="B1446" t="s">
        <v>149</v>
      </c>
      <c r="D1446" t="s">
        <v>696</v>
      </c>
      <c r="E1446" t="s">
        <v>149</v>
      </c>
      <c r="G1446">
        <v>0</v>
      </c>
    </row>
    <row r="1447" spans="2:7" x14ac:dyDescent="0.25">
      <c r="B1447" t="s">
        <v>149</v>
      </c>
      <c r="D1447" t="s">
        <v>696</v>
      </c>
      <c r="E1447" t="s">
        <v>149</v>
      </c>
      <c r="G1447">
        <v>0</v>
      </c>
    </row>
    <row r="1448" spans="2:7" x14ac:dyDescent="0.25">
      <c r="B1448" t="s">
        <v>149</v>
      </c>
      <c r="D1448" t="s">
        <v>696</v>
      </c>
      <c r="E1448" t="s">
        <v>149</v>
      </c>
      <c r="G1448">
        <v>0</v>
      </c>
    </row>
    <row r="1449" spans="2:7" x14ac:dyDescent="0.25">
      <c r="B1449" t="s">
        <v>149</v>
      </c>
      <c r="D1449" t="s">
        <v>696</v>
      </c>
      <c r="E1449" t="s">
        <v>149</v>
      </c>
      <c r="G1449">
        <v>0</v>
      </c>
    </row>
    <row r="1450" spans="2:7" x14ac:dyDescent="0.25">
      <c r="B1450" t="s">
        <v>149</v>
      </c>
      <c r="D1450" t="s">
        <v>696</v>
      </c>
      <c r="E1450" t="s">
        <v>149</v>
      </c>
      <c r="G1450">
        <v>0</v>
      </c>
    </row>
    <row r="1451" spans="2:7" x14ac:dyDescent="0.25">
      <c r="B1451" t="s">
        <v>149</v>
      </c>
      <c r="D1451" t="s">
        <v>696</v>
      </c>
      <c r="E1451" t="s">
        <v>149</v>
      </c>
      <c r="G1451">
        <v>0</v>
      </c>
    </row>
    <row r="1452" spans="2:7" x14ac:dyDescent="0.25">
      <c r="B1452" t="s">
        <v>149</v>
      </c>
      <c r="D1452" t="s">
        <v>696</v>
      </c>
      <c r="E1452" t="s">
        <v>149</v>
      </c>
      <c r="G1452">
        <v>0</v>
      </c>
    </row>
    <row r="1453" spans="2:7" x14ac:dyDescent="0.25">
      <c r="B1453" t="s">
        <v>149</v>
      </c>
      <c r="D1453" t="s">
        <v>696</v>
      </c>
      <c r="E1453" t="s">
        <v>149</v>
      </c>
      <c r="G1453">
        <v>0</v>
      </c>
    </row>
    <row r="1454" spans="2:7" x14ac:dyDescent="0.25">
      <c r="B1454" t="s">
        <v>149</v>
      </c>
      <c r="D1454" t="s">
        <v>696</v>
      </c>
      <c r="E1454" t="s">
        <v>149</v>
      </c>
      <c r="G1454">
        <v>0</v>
      </c>
    </row>
    <row r="1455" spans="2:7" x14ac:dyDescent="0.25">
      <c r="B1455" t="s">
        <v>149</v>
      </c>
      <c r="D1455" t="s">
        <v>696</v>
      </c>
      <c r="E1455" t="s">
        <v>149</v>
      </c>
      <c r="G1455">
        <v>0</v>
      </c>
    </row>
    <row r="1456" spans="2:7" x14ac:dyDescent="0.25">
      <c r="B1456" t="s">
        <v>149</v>
      </c>
      <c r="D1456" t="s">
        <v>696</v>
      </c>
      <c r="E1456" t="s">
        <v>149</v>
      </c>
      <c r="G1456">
        <v>0</v>
      </c>
    </row>
    <row r="1457" spans="2:7" x14ac:dyDescent="0.25">
      <c r="B1457" t="s">
        <v>149</v>
      </c>
      <c r="D1457" t="s">
        <v>696</v>
      </c>
      <c r="E1457" t="s">
        <v>149</v>
      </c>
      <c r="G1457">
        <v>0</v>
      </c>
    </row>
    <row r="1458" spans="2:7" x14ac:dyDescent="0.25">
      <c r="B1458" t="s">
        <v>149</v>
      </c>
      <c r="D1458" t="s">
        <v>696</v>
      </c>
      <c r="E1458" t="s">
        <v>149</v>
      </c>
      <c r="G1458">
        <v>0</v>
      </c>
    </row>
    <row r="1459" spans="2:7" x14ac:dyDescent="0.25">
      <c r="B1459" t="s">
        <v>149</v>
      </c>
      <c r="D1459" t="s">
        <v>696</v>
      </c>
      <c r="E1459" t="s">
        <v>149</v>
      </c>
      <c r="G1459">
        <v>0</v>
      </c>
    </row>
    <row r="1460" spans="2:7" x14ac:dyDescent="0.25">
      <c r="B1460" t="s">
        <v>149</v>
      </c>
      <c r="D1460" t="s">
        <v>696</v>
      </c>
      <c r="E1460" t="s">
        <v>149</v>
      </c>
      <c r="G1460">
        <v>0</v>
      </c>
    </row>
    <row r="1461" spans="2:7" x14ac:dyDescent="0.25">
      <c r="B1461" t="s">
        <v>149</v>
      </c>
      <c r="D1461" t="s">
        <v>696</v>
      </c>
      <c r="E1461" t="s">
        <v>149</v>
      </c>
      <c r="G1461">
        <v>0</v>
      </c>
    </row>
    <row r="1462" spans="2:7" x14ac:dyDescent="0.25">
      <c r="B1462" t="s">
        <v>149</v>
      </c>
      <c r="D1462" t="s">
        <v>696</v>
      </c>
      <c r="E1462" t="s">
        <v>149</v>
      </c>
      <c r="G1462">
        <v>0</v>
      </c>
    </row>
    <row r="1463" spans="2:7" x14ac:dyDescent="0.25">
      <c r="B1463" t="s">
        <v>149</v>
      </c>
      <c r="D1463" t="s">
        <v>696</v>
      </c>
      <c r="E1463" t="s">
        <v>149</v>
      </c>
      <c r="G1463">
        <v>0</v>
      </c>
    </row>
    <row r="1464" spans="2:7" x14ac:dyDescent="0.25">
      <c r="B1464" t="s">
        <v>149</v>
      </c>
      <c r="D1464" t="s">
        <v>696</v>
      </c>
      <c r="E1464" t="s">
        <v>149</v>
      </c>
      <c r="G1464">
        <v>0</v>
      </c>
    </row>
    <row r="1465" spans="2:7" x14ac:dyDescent="0.25">
      <c r="B1465" t="s">
        <v>149</v>
      </c>
      <c r="D1465" t="s">
        <v>696</v>
      </c>
      <c r="E1465" t="s">
        <v>149</v>
      </c>
      <c r="G1465">
        <v>0</v>
      </c>
    </row>
    <row r="1466" spans="2:7" x14ac:dyDescent="0.25">
      <c r="B1466" t="s">
        <v>149</v>
      </c>
      <c r="D1466" t="s">
        <v>696</v>
      </c>
      <c r="E1466" t="s">
        <v>149</v>
      </c>
      <c r="G1466">
        <v>0</v>
      </c>
    </row>
    <row r="1467" spans="2:7" x14ac:dyDescent="0.25">
      <c r="B1467" t="s">
        <v>149</v>
      </c>
      <c r="D1467" t="s">
        <v>696</v>
      </c>
      <c r="E1467" t="s">
        <v>149</v>
      </c>
      <c r="G1467">
        <v>0</v>
      </c>
    </row>
    <row r="1468" spans="2:7" x14ac:dyDescent="0.25">
      <c r="B1468" t="s">
        <v>149</v>
      </c>
      <c r="D1468" t="s">
        <v>696</v>
      </c>
      <c r="E1468" t="s">
        <v>149</v>
      </c>
      <c r="G1468">
        <v>0</v>
      </c>
    </row>
    <row r="1469" spans="2:7" x14ac:dyDescent="0.25">
      <c r="B1469" t="s">
        <v>149</v>
      </c>
      <c r="D1469" t="s">
        <v>696</v>
      </c>
      <c r="E1469" t="s">
        <v>149</v>
      </c>
      <c r="G1469">
        <v>0</v>
      </c>
    </row>
    <row r="1470" spans="2:7" x14ac:dyDescent="0.25">
      <c r="B1470" t="s">
        <v>149</v>
      </c>
      <c r="D1470" t="s">
        <v>696</v>
      </c>
      <c r="E1470" t="s">
        <v>149</v>
      </c>
      <c r="G1470">
        <v>0</v>
      </c>
    </row>
    <row r="1471" spans="2:7" x14ac:dyDescent="0.25">
      <c r="B1471" t="s">
        <v>149</v>
      </c>
      <c r="D1471" t="s">
        <v>696</v>
      </c>
      <c r="E1471" t="s">
        <v>149</v>
      </c>
      <c r="G1471">
        <v>0</v>
      </c>
    </row>
    <row r="1472" spans="2:7" x14ac:dyDescent="0.25">
      <c r="B1472" t="s">
        <v>149</v>
      </c>
      <c r="D1472" t="s">
        <v>696</v>
      </c>
      <c r="E1472" t="s">
        <v>149</v>
      </c>
      <c r="G1472">
        <v>0</v>
      </c>
    </row>
    <row r="1473" spans="2:7" x14ac:dyDescent="0.25">
      <c r="B1473" t="s">
        <v>149</v>
      </c>
      <c r="D1473" t="s">
        <v>696</v>
      </c>
      <c r="E1473" t="s">
        <v>149</v>
      </c>
      <c r="G1473">
        <v>0</v>
      </c>
    </row>
    <row r="1474" spans="2:7" x14ac:dyDescent="0.25">
      <c r="B1474" t="s">
        <v>149</v>
      </c>
      <c r="D1474" t="s">
        <v>696</v>
      </c>
      <c r="E1474" t="s">
        <v>149</v>
      </c>
      <c r="G1474">
        <v>0</v>
      </c>
    </row>
    <row r="1475" spans="2:7" x14ac:dyDescent="0.25">
      <c r="B1475" t="s">
        <v>149</v>
      </c>
      <c r="D1475" t="s">
        <v>696</v>
      </c>
      <c r="E1475" t="s">
        <v>149</v>
      </c>
      <c r="G1475">
        <v>0</v>
      </c>
    </row>
    <row r="1476" spans="2:7" x14ac:dyDescent="0.25">
      <c r="B1476" t="s">
        <v>149</v>
      </c>
      <c r="D1476" t="s">
        <v>696</v>
      </c>
      <c r="E1476" t="s">
        <v>149</v>
      </c>
      <c r="G1476">
        <v>0</v>
      </c>
    </row>
    <row r="1477" spans="2:7" x14ac:dyDescent="0.25">
      <c r="B1477" t="s">
        <v>149</v>
      </c>
      <c r="D1477" t="s">
        <v>696</v>
      </c>
      <c r="E1477" t="s">
        <v>149</v>
      </c>
      <c r="G1477">
        <v>0</v>
      </c>
    </row>
    <row r="1478" spans="2:7" x14ac:dyDescent="0.25">
      <c r="B1478" t="s">
        <v>149</v>
      </c>
      <c r="D1478" t="s">
        <v>696</v>
      </c>
      <c r="E1478" t="s">
        <v>149</v>
      </c>
      <c r="G1478">
        <v>0</v>
      </c>
    </row>
    <row r="1479" spans="2:7" x14ac:dyDescent="0.25">
      <c r="B1479" t="s">
        <v>149</v>
      </c>
      <c r="D1479" t="s">
        <v>696</v>
      </c>
      <c r="E1479" t="s">
        <v>149</v>
      </c>
      <c r="G1479">
        <v>0</v>
      </c>
    </row>
    <row r="1480" spans="2:7" x14ac:dyDescent="0.25">
      <c r="B1480" t="s">
        <v>149</v>
      </c>
      <c r="D1480" t="s">
        <v>696</v>
      </c>
      <c r="E1480" t="s">
        <v>149</v>
      </c>
      <c r="G1480">
        <v>0</v>
      </c>
    </row>
    <row r="1481" spans="2:7" x14ac:dyDescent="0.25">
      <c r="B1481" t="s">
        <v>149</v>
      </c>
      <c r="D1481" t="s">
        <v>696</v>
      </c>
      <c r="E1481" t="s">
        <v>149</v>
      </c>
      <c r="G1481">
        <v>0</v>
      </c>
    </row>
    <row r="1482" spans="2:7" x14ac:dyDescent="0.25">
      <c r="B1482" t="s">
        <v>149</v>
      </c>
      <c r="D1482" t="s">
        <v>696</v>
      </c>
      <c r="E1482" t="s">
        <v>149</v>
      </c>
      <c r="G1482">
        <v>0</v>
      </c>
    </row>
    <row r="1483" spans="2:7" x14ac:dyDescent="0.25">
      <c r="B1483" t="s">
        <v>149</v>
      </c>
      <c r="D1483" t="s">
        <v>696</v>
      </c>
      <c r="E1483" t="s">
        <v>149</v>
      </c>
      <c r="G1483">
        <v>0</v>
      </c>
    </row>
    <row r="1484" spans="2:7" x14ac:dyDescent="0.25">
      <c r="B1484" t="s">
        <v>149</v>
      </c>
      <c r="D1484" t="s">
        <v>696</v>
      </c>
      <c r="E1484" t="s">
        <v>149</v>
      </c>
      <c r="G1484">
        <v>0</v>
      </c>
    </row>
    <row r="1485" spans="2:7" x14ac:dyDescent="0.25">
      <c r="B1485" t="s">
        <v>149</v>
      </c>
      <c r="D1485" t="s">
        <v>696</v>
      </c>
      <c r="E1485" t="s">
        <v>149</v>
      </c>
      <c r="G1485">
        <v>0</v>
      </c>
    </row>
    <row r="1486" spans="2:7" x14ac:dyDescent="0.25">
      <c r="B1486" t="s">
        <v>149</v>
      </c>
      <c r="D1486" t="s">
        <v>696</v>
      </c>
      <c r="E1486" t="s">
        <v>149</v>
      </c>
      <c r="G1486">
        <v>0</v>
      </c>
    </row>
    <row r="1487" spans="2:7" x14ac:dyDescent="0.25">
      <c r="B1487" t="s">
        <v>149</v>
      </c>
      <c r="D1487" t="s">
        <v>696</v>
      </c>
      <c r="E1487" t="s">
        <v>149</v>
      </c>
      <c r="G1487">
        <v>0</v>
      </c>
    </row>
    <row r="1488" spans="2:7" x14ac:dyDescent="0.25">
      <c r="B1488" t="s">
        <v>149</v>
      </c>
      <c r="D1488" t="s">
        <v>696</v>
      </c>
      <c r="E1488" t="s">
        <v>149</v>
      </c>
      <c r="G1488">
        <v>0</v>
      </c>
    </row>
    <row r="1489" spans="2:7" x14ac:dyDescent="0.25">
      <c r="B1489" t="s">
        <v>149</v>
      </c>
      <c r="D1489" t="s">
        <v>696</v>
      </c>
      <c r="E1489" t="s">
        <v>149</v>
      </c>
      <c r="G1489">
        <v>0</v>
      </c>
    </row>
    <row r="1490" spans="2:7" x14ac:dyDescent="0.25">
      <c r="B1490" t="s">
        <v>149</v>
      </c>
      <c r="D1490" t="s">
        <v>696</v>
      </c>
      <c r="E1490" t="s">
        <v>149</v>
      </c>
      <c r="G1490">
        <v>0</v>
      </c>
    </row>
    <row r="1491" spans="2:7" x14ac:dyDescent="0.25">
      <c r="B1491" t="s">
        <v>149</v>
      </c>
      <c r="D1491" t="s">
        <v>696</v>
      </c>
      <c r="E1491" t="s">
        <v>149</v>
      </c>
      <c r="G1491">
        <v>0</v>
      </c>
    </row>
    <row r="1492" spans="2:7" x14ac:dyDescent="0.25">
      <c r="B1492" t="s">
        <v>149</v>
      </c>
      <c r="D1492" t="s">
        <v>696</v>
      </c>
      <c r="E1492" t="s">
        <v>149</v>
      </c>
      <c r="G1492">
        <v>0</v>
      </c>
    </row>
    <row r="1493" spans="2:7" x14ac:dyDescent="0.25">
      <c r="B1493" t="s">
        <v>149</v>
      </c>
      <c r="D1493" t="s">
        <v>696</v>
      </c>
      <c r="E1493" t="s">
        <v>149</v>
      </c>
      <c r="G1493">
        <v>0</v>
      </c>
    </row>
    <row r="1494" spans="2:7" x14ac:dyDescent="0.25">
      <c r="B1494" t="s">
        <v>149</v>
      </c>
      <c r="D1494" t="s">
        <v>696</v>
      </c>
      <c r="E1494" t="s">
        <v>149</v>
      </c>
      <c r="G1494">
        <v>0</v>
      </c>
    </row>
    <row r="1495" spans="2:7" x14ac:dyDescent="0.25">
      <c r="B1495" t="s">
        <v>149</v>
      </c>
      <c r="D1495" t="s">
        <v>696</v>
      </c>
      <c r="E1495" t="s">
        <v>149</v>
      </c>
      <c r="G1495">
        <v>0</v>
      </c>
    </row>
    <row r="1496" spans="2:7" x14ac:dyDescent="0.25">
      <c r="B1496" t="s">
        <v>149</v>
      </c>
      <c r="D1496" t="s">
        <v>696</v>
      </c>
      <c r="E1496" t="s">
        <v>149</v>
      </c>
      <c r="G1496">
        <v>0</v>
      </c>
    </row>
    <row r="1497" spans="2:7" x14ac:dyDescent="0.25">
      <c r="B1497" t="s">
        <v>149</v>
      </c>
      <c r="D1497" t="s">
        <v>696</v>
      </c>
      <c r="E1497" t="s">
        <v>149</v>
      </c>
      <c r="G1497">
        <v>0</v>
      </c>
    </row>
    <row r="1498" spans="2:7" x14ac:dyDescent="0.25">
      <c r="B1498" t="s">
        <v>149</v>
      </c>
      <c r="D1498" t="s">
        <v>696</v>
      </c>
      <c r="E1498" t="s">
        <v>149</v>
      </c>
      <c r="G1498">
        <v>0</v>
      </c>
    </row>
    <row r="1499" spans="2:7" x14ac:dyDescent="0.25">
      <c r="B1499" t="s">
        <v>149</v>
      </c>
      <c r="D1499" t="s">
        <v>696</v>
      </c>
      <c r="E1499" t="s">
        <v>149</v>
      </c>
      <c r="G1499">
        <v>0</v>
      </c>
    </row>
    <row r="1500" spans="2:7" x14ac:dyDescent="0.25">
      <c r="B1500" t="s">
        <v>149</v>
      </c>
      <c r="D1500" t="s">
        <v>696</v>
      </c>
      <c r="E1500" t="s">
        <v>149</v>
      </c>
      <c r="G1500">
        <v>0</v>
      </c>
    </row>
    <row r="1501" spans="2:7" x14ac:dyDescent="0.25">
      <c r="B1501" t="s">
        <v>149</v>
      </c>
      <c r="D1501" t="s">
        <v>696</v>
      </c>
      <c r="E1501" t="s">
        <v>149</v>
      </c>
      <c r="G1501">
        <v>0</v>
      </c>
    </row>
    <row r="1502" spans="2:7" x14ac:dyDescent="0.25">
      <c r="B1502" t="s">
        <v>149</v>
      </c>
      <c r="D1502" t="s">
        <v>696</v>
      </c>
      <c r="E1502" t="s">
        <v>149</v>
      </c>
      <c r="G1502">
        <v>0</v>
      </c>
    </row>
    <row r="1503" spans="2:7" x14ac:dyDescent="0.25">
      <c r="B1503" t="s">
        <v>149</v>
      </c>
      <c r="D1503" t="s">
        <v>696</v>
      </c>
      <c r="E1503" t="s">
        <v>149</v>
      </c>
      <c r="G1503">
        <v>0</v>
      </c>
    </row>
    <row r="1504" spans="2:7" x14ac:dyDescent="0.25">
      <c r="B1504" t="s">
        <v>149</v>
      </c>
      <c r="D1504" t="s">
        <v>696</v>
      </c>
      <c r="E1504" t="s">
        <v>149</v>
      </c>
      <c r="G1504">
        <v>0</v>
      </c>
    </row>
    <row r="1505" spans="2:7" x14ac:dyDescent="0.25">
      <c r="B1505" t="s">
        <v>149</v>
      </c>
      <c r="D1505" t="s">
        <v>696</v>
      </c>
      <c r="E1505" t="s">
        <v>149</v>
      </c>
      <c r="G1505">
        <v>0</v>
      </c>
    </row>
    <row r="1506" spans="2:7" x14ac:dyDescent="0.25">
      <c r="B1506" t="s">
        <v>149</v>
      </c>
      <c r="D1506" t="s">
        <v>696</v>
      </c>
      <c r="E1506" t="s">
        <v>149</v>
      </c>
      <c r="G1506">
        <v>0</v>
      </c>
    </row>
    <row r="1507" spans="2:7" x14ac:dyDescent="0.25">
      <c r="B1507" t="s">
        <v>149</v>
      </c>
      <c r="D1507" t="s">
        <v>696</v>
      </c>
      <c r="E1507" t="s">
        <v>149</v>
      </c>
      <c r="G1507">
        <v>0</v>
      </c>
    </row>
    <row r="1508" spans="2:7" x14ac:dyDescent="0.25">
      <c r="B1508" t="s">
        <v>149</v>
      </c>
      <c r="D1508" t="s">
        <v>696</v>
      </c>
      <c r="E1508" t="s">
        <v>149</v>
      </c>
      <c r="G1508">
        <v>0</v>
      </c>
    </row>
    <row r="1509" spans="2:7" x14ac:dyDescent="0.25">
      <c r="B1509" t="s">
        <v>149</v>
      </c>
      <c r="D1509" t="s">
        <v>696</v>
      </c>
      <c r="E1509" t="s">
        <v>149</v>
      </c>
      <c r="G1509">
        <v>0</v>
      </c>
    </row>
    <row r="1510" spans="2:7" x14ac:dyDescent="0.25">
      <c r="B1510" t="s">
        <v>149</v>
      </c>
      <c r="D1510" t="s">
        <v>696</v>
      </c>
      <c r="E1510" t="s">
        <v>149</v>
      </c>
      <c r="G1510">
        <v>0</v>
      </c>
    </row>
    <row r="1511" spans="2:7" x14ac:dyDescent="0.25">
      <c r="B1511" t="s">
        <v>149</v>
      </c>
      <c r="D1511" t="s">
        <v>696</v>
      </c>
      <c r="E1511" t="s">
        <v>149</v>
      </c>
      <c r="G1511">
        <v>0</v>
      </c>
    </row>
    <row r="1512" spans="2:7" x14ac:dyDescent="0.25">
      <c r="B1512" t="s">
        <v>149</v>
      </c>
      <c r="D1512" t="s">
        <v>696</v>
      </c>
      <c r="E1512" t="s">
        <v>149</v>
      </c>
      <c r="G1512">
        <v>0</v>
      </c>
    </row>
    <row r="1513" spans="2:7" x14ac:dyDescent="0.25">
      <c r="B1513" t="s">
        <v>149</v>
      </c>
      <c r="D1513" t="s">
        <v>696</v>
      </c>
      <c r="E1513" t="s">
        <v>149</v>
      </c>
      <c r="G1513">
        <v>0</v>
      </c>
    </row>
    <row r="1514" spans="2:7" x14ac:dyDescent="0.25">
      <c r="B1514" t="s">
        <v>149</v>
      </c>
      <c r="D1514" t="s">
        <v>696</v>
      </c>
      <c r="E1514" t="s">
        <v>149</v>
      </c>
      <c r="G1514">
        <v>0</v>
      </c>
    </row>
    <row r="1515" spans="2:7" x14ac:dyDescent="0.25">
      <c r="B1515" t="s">
        <v>149</v>
      </c>
      <c r="D1515" t="s">
        <v>696</v>
      </c>
      <c r="E1515" t="s">
        <v>149</v>
      </c>
      <c r="G1515">
        <v>0</v>
      </c>
    </row>
    <row r="1516" spans="2:7" x14ac:dyDescent="0.25">
      <c r="B1516" t="s">
        <v>149</v>
      </c>
      <c r="D1516" t="s">
        <v>696</v>
      </c>
      <c r="E1516" t="s">
        <v>149</v>
      </c>
      <c r="G1516">
        <v>0</v>
      </c>
    </row>
    <row r="1517" spans="2:7" x14ac:dyDescent="0.25">
      <c r="B1517" t="s">
        <v>149</v>
      </c>
      <c r="D1517" t="s">
        <v>696</v>
      </c>
      <c r="E1517" t="s">
        <v>149</v>
      </c>
      <c r="G1517">
        <v>0</v>
      </c>
    </row>
    <row r="1518" spans="2:7" x14ac:dyDescent="0.25">
      <c r="B1518" t="s">
        <v>149</v>
      </c>
      <c r="D1518" t="s">
        <v>696</v>
      </c>
      <c r="E1518" t="s">
        <v>149</v>
      </c>
      <c r="G1518">
        <v>0</v>
      </c>
    </row>
    <row r="1519" spans="2:7" x14ac:dyDescent="0.25">
      <c r="B1519" t="s">
        <v>149</v>
      </c>
      <c r="D1519" t="s">
        <v>696</v>
      </c>
      <c r="E1519" t="s">
        <v>149</v>
      </c>
      <c r="G1519">
        <v>0</v>
      </c>
    </row>
    <row r="1520" spans="2:7" x14ac:dyDescent="0.25">
      <c r="B1520" t="s">
        <v>149</v>
      </c>
      <c r="D1520" t="s">
        <v>696</v>
      </c>
      <c r="E1520" t="s">
        <v>149</v>
      </c>
      <c r="G1520">
        <v>0</v>
      </c>
    </row>
    <row r="1521" spans="2:7" x14ac:dyDescent="0.25">
      <c r="B1521" t="s">
        <v>149</v>
      </c>
      <c r="D1521" t="s">
        <v>696</v>
      </c>
      <c r="E1521" t="s">
        <v>149</v>
      </c>
      <c r="G1521">
        <v>0</v>
      </c>
    </row>
    <row r="1522" spans="2:7" x14ac:dyDescent="0.25">
      <c r="B1522" t="s">
        <v>149</v>
      </c>
      <c r="D1522" t="s">
        <v>696</v>
      </c>
      <c r="E1522" t="s">
        <v>149</v>
      </c>
      <c r="G1522">
        <v>0</v>
      </c>
    </row>
    <row r="1523" spans="2:7" x14ac:dyDescent="0.25">
      <c r="B1523" t="s">
        <v>149</v>
      </c>
      <c r="D1523" t="s">
        <v>696</v>
      </c>
      <c r="E1523" t="s">
        <v>149</v>
      </c>
      <c r="G1523">
        <v>0</v>
      </c>
    </row>
    <row r="1524" spans="2:7" x14ac:dyDescent="0.25">
      <c r="B1524" t="s">
        <v>149</v>
      </c>
      <c r="D1524" t="s">
        <v>696</v>
      </c>
      <c r="E1524" t="s">
        <v>149</v>
      </c>
      <c r="G1524">
        <v>0</v>
      </c>
    </row>
    <row r="1525" spans="2:7" x14ac:dyDescent="0.25">
      <c r="B1525" t="s">
        <v>149</v>
      </c>
      <c r="D1525" t="s">
        <v>696</v>
      </c>
      <c r="E1525" t="s">
        <v>149</v>
      </c>
      <c r="G1525">
        <v>0</v>
      </c>
    </row>
    <row r="1526" spans="2:7" x14ac:dyDescent="0.25">
      <c r="B1526" t="s">
        <v>149</v>
      </c>
      <c r="D1526" t="s">
        <v>696</v>
      </c>
      <c r="E1526" t="s">
        <v>149</v>
      </c>
      <c r="G1526">
        <v>0</v>
      </c>
    </row>
    <row r="1527" spans="2:7" x14ac:dyDescent="0.25">
      <c r="B1527" t="s">
        <v>149</v>
      </c>
      <c r="D1527" t="s">
        <v>696</v>
      </c>
      <c r="E1527" t="s">
        <v>149</v>
      </c>
      <c r="G1527">
        <v>0</v>
      </c>
    </row>
    <row r="1528" spans="2:7" x14ac:dyDescent="0.25">
      <c r="B1528" t="s">
        <v>149</v>
      </c>
      <c r="D1528" t="s">
        <v>696</v>
      </c>
      <c r="E1528" t="s">
        <v>149</v>
      </c>
      <c r="G1528">
        <v>0</v>
      </c>
    </row>
    <row r="1529" spans="2:7" x14ac:dyDescent="0.25">
      <c r="B1529" t="s">
        <v>149</v>
      </c>
      <c r="D1529" t="s">
        <v>696</v>
      </c>
      <c r="E1529" t="s">
        <v>149</v>
      </c>
      <c r="G1529">
        <v>0</v>
      </c>
    </row>
    <row r="1530" spans="2:7" x14ac:dyDescent="0.25">
      <c r="B1530" t="s">
        <v>149</v>
      </c>
      <c r="D1530" t="s">
        <v>696</v>
      </c>
      <c r="E1530" t="s">
        <v>149</v>
      </c>
      <c r="G1530">
        <v>0</v>
      </c>
    </row>
    <row r="1531" spans="2:7" x14ac:dyDescent="0.25">
      <c r="B1531" t="s">
        <v>149</v>
      </c>
      <c r="D1531" t="s">
        <v>696</v>
      </c>
      <c r="E1531" t="s">
        <v>149</v>
      </c>
      <c r="G1531">
        <v>0</v>
      </c>
    </row>
    <row r="1532" spans="2:7" x14ac:dyDescent="0.25">
      <c r="B1532" t="s">
        <v>149</v>
      </c>
      <c r="D1532" t="s">
        <v>696</v>
      </c>
      <c r="E1532" t="s">
        <v>149</v>
      </c>
      <c r="G1532">
        <v>0</v>
      </c>
    </row>
    <row r="1533" spans="2:7" x14ac:dyDescent="0.25">
      <c r="B1533" t="s">
        <v>149</v>
      </c>
      <c r="D1533" t="s">
        <v>696</v>
      </c>
      <c r="E1533" t="s">
        <v>149</v>
      </c>
      <c r="G1533">
        <v>0</v>
      </c>
    </row>
    <row r="1534" spans="2:7" x14ac:dyDescent="0.25">
      <c r="B1534" t="s">
        <v>149</v>
      </c>
      <c r="D1534" t="s">
        <v>696</v>
      </c>
      <c r="E1534" t="s">
        <v>149</v>
      </c>
      <c r="G1534">
        <v>0</v>
      </c>
    </row>
    <row r="1535" spans="2:7" x14ac:dyDescent="0.25">
      <c r="B1535" t="s">
        <v>149</v>
      </c>
      <c r="D1535" t="s">
        <v>696</v>
      </c>
      <c r="E1535" t="s">
        <v>149</v>
      </c>
      <c r="G1535">
        <v>0</v>
      </c>
    </row>
    <row r="1536" spans="2:7" x14ac:dyDescent="0.25">
      <c r="B1536" t="s">
        <v>149</v>
      </c>
      <c r="D1536" t="s">
        <v>696</v>
      </c>
      <c r="E1536" t="s">
        <v>149</v>
      </c>
      <c r="G1536">
        <v>0</v>
      </c>
    </row>
    <row r="1537" spans="2:7" x14ac:dyDescent="0.25">
      <c r="B1537" t="s">
        <v>149</v>
      </c>
      <c r="D1537" t="s">
        <v>696</v>
      </c>
      <c r="E1537" t="s">
        <v>149</v>
      </c>
      <c r="G1537">
        <v>0</v>
      </c>
    </row>
    <row r="1538" spans="2:7" x14ac:dyDescent="0.25">
      <c r="B1538" t="s">
        <v>149</v>
      </c>
      <c r="D1538" t="s">
        <v>696</v>
      </c>
      <c r="E1538" t="s">
        <v>149</v>
      </c>
      <c r="G1538">
        <v>0</v>
      </c>
    </row>
    <row r="1539" spans="2:7" x14ac:dyDescent="0.25">
      <c r="B1539" t="s">
        <v>149</v>
      </c>
      <c r="D1539" t="s">
        <v>696</v>
      </c>
      <c r="E1539" t="s">
        <v>149</v>
      </c>
      <c r="G1539">
        <v>0</v>
      </c>
    </row>
    <row r="1540" spans="2:7" x14ac:dyDescent="0.25">
      <c r="B1540" t="s">
        <v>149</v>
      </c>
      <c r="D1540" t="s">
        <v>696</v>
      </c>
      <c r="E1540" t="s">
        <v>149</v>
      </c>
      <c r="G1540">
        <v>0</v>
      </c>
    </row>
    <row r="1541" spans="2:7" x14ac:dyDescent="0.25">
      <c r="B1541" t="s">
        <v>149</v>
      </c>
      <c r="D1541" t="s">
        <v>696</v>
      </c>
      <c r="E1541" t="s">
        <v>149</v>
      </c>
      <c r="G1541">
        <v>0</v>
      </c>
    </row>
    <row r="1542" spans="2:7" x14ac:dyDescent="0.25">
      <c r="B1542" t="s">
        <v>149</v>
      </c>
      <c r="D1542" t="s">
        <v>696</v>
      </c>
      <c r="E1542" t="s">
        <v>149</v>
      </c>
      <c r="G1542">
        <v>0</v>
      </c>
    </row>
    <row r="1543" spans="2:7" x14ac:dyDescent="0.25">
      <c r="B1543" t="s">
        <v>149</v>
      </c>
      <c r="D1543" t="s">
        <v>696</v>
      </c>
      <c r="E1543" t="s">
        <v>149</v>
      </c>
      <c r="G1543">
        <v>0</v>
      </c>
    </row>
    <row r="1544" spans="2:7" x14ac:dyDescent="0.25">
      <c r="B1544" t="s">
        <v>149</v>
      </c>
      <c r="D1544" t="s">
        <v>696</v>
      </c>
      <c r="E1544" t="s">
        <v>149</v>
      </c>
      <c r="G1544">
        <v>0</v>
      </c>
    </row>
    <row r="1545" spans="2:7" x14ac:dyDescent="0.25">
      <c r="B1545" t="s">
        <v>149</v>
      </c>
      <c r="D1545" t="s">
        <v>696</v>
      </c>
      <c r="E1545" t="s">
        <v>149</v>
      </c>
      <c r="G1545">
        <v>0</v>
      </c>
    </row>
    <row r="1546" spans="2:7" x14ac:dyDescent="0.25">
      <c r="B1546" t="s">
        <v>149</v>
      </c>
      <c r="D1546" t="s">
        <v>696</v>
      </c>
      <c r="E1546" t="s">
        <v>149</v>
      </c>
      <c r="G1546">
        <v>0</v>
      </c>
    </row>
    <row r="1547" spans="2:7" x14ac:dyDescent="0.25">
      <c r="B1547" t="s">
        <v>149</v>
      </c>
      <c r="D1547" t="s">
        <v>696</v>
      </c>
      <c r="E1547" t="s">
        <v>149</v>
      </c>
      <c r="G1547">
        <v>0</v>
      </c>
    </row>
    <row r="1548" spans="2:7" x14ac:dyDescent="0.25">
      <c r="B1548" t="s">
        <v>149</v>
      </c>
      <c r="D1548" t="s">
        <v>696</v>
      </c>
      <c r="E1548" t="s">
        <v>149</v>
      </c>
      <c r="G1548">
        <v>0</v>
      </c>
    </row>
    <row r="1549" spans="2:7" x14ac:dyDescent="0.25">
      <c r="B1549" t="s">
        <v>149</v>
      </c>
      <c r="D1549" t="s">
        <v>696</v>
      </c>
      <c r="E1549" t="s">
        <v>149</v>
      </c>
      <c r="G1549">
        <v>0</v>
      </c>
    </row>
    <row r="1550" spans="2:7" x14ac:dyDescent="0.25">
      <c r="B1550" t="s">
        <v>149</v>
      </c>
      <c r="D1550" t="s">
        <v>696</v>
      </c>
      <c r="E1550" t="s">
        <v>149</v>
      </c>
      <c r="G1550">
        <v>0</v>
      </c>
    </row>
    <row r="1551" spans="2:7" x14ac:dyDescent="0.25">
      <c r="B1551" t="s">
        <v>149</v>
      </c>
      <c r="D1551" t="s">
        <v>696</v>
      </c>
      <c r="E1551" t="s">
        <v>149</v>
      </c>
      <c r="G1551">
        <v>0</v>
      </c>
    </row>
    <row r="1552" spans="2:7" x14ac:dyDescent="0.25">
      <c r="B1552" t="s">
        <v>149</v>
      </c>
      <c r="D1552" t="s">
        <v>696</v>
      </c>
      <c r="E1552" t="s">
        <v>149</v>
      </c>
      <c r="G1552">
        <v>0</v>
      </c>
    </row>
    <row r="1553" spans="2:7" x14ac:dyDescent="0.25">
      <c r="B1553" t="s">
        <v>149</v>
      </c>
      <c r="D1553" t="s">
        <v>696</v>
      </c>
      <c r="E1553" t="s">
        <v>149</v>
      </c>
      <c r="G1553">
        <v>0</v>
      </c>
    </row>
    <row r="1554" spans="2:7" x14ac:dyDescent="0.25">
      <c r="B1554" t="s">
        <v>149</v>
      </c>
      <c r="D1554" t="s">
        <v>696</v>
      </c>
      <c r="E1554" t="s">
        <v>149</v>
      </c>
      <c r="G1554">
        <v>0</v>
      </c>
    </row>
    <row r="1555" spans="2:7" x14ac:dyDescent="0.25">
      <c r="B1555" t="s">
        <v>149</v>
      </c>
      <c r="D1555" t="s">
        <v>696</v>
      </c>
      <c r="E1555" t="s">
        <v>149</v>
      </c>
      <c r="G1555">
        <v>0</v>
      </c>
    </row>
    <row r="1556" spans="2:7" x14ac:dyDescent="0.25">
      <c r="B1556" t="s">
        <v>149</v>
      </c>
      <c r="D1556" t="s">
        <v>696</v>
      </c>
      <c r="E1556" t="s">
        <v>149</v>
      </c>
      <c r="G1556">
        <v>0</v>
      </c>
    </row>
    <row r="1557" spans="2:7" x14ac:dyDescent="0.25">
      <c r="B1557" t="s">
        <v>149</v>
      </c>
      <c r="D1557" t="s">
        <v>696</v>
      </c>
      <c r="E1557" t="s">
        <v>149</v>
      </c>
      <c r="G1557">
        <v>0</v>
      </c>
    </row>
    <row r="1558" spans="2:7" x14ac:dyDescent="0.25">
      <c r="B1558" t="s">
        <v>149</v>
      </c>
      <c r="D1558" t="s">
        <v>696</v>
      </c>
      <c r="E1558" t="s">
        <v>149</v>
      </c>
      <c r="G1558">
        <v>0</v>
      </c>
    </row>
    <row r="1559" spans="2:7" x14ac:dyDescent="0.25">
      <c r="B1559" t="s">
        <v>149</v>
      </c>
      <c r="D1559" t="s">
        <v>696</v>
      </c>
      <c r="E1559" t="s">
        <v>149</v>
      </c>
      <c r="G1559">
        <v>0</v>
      </c>
    </row>
    <row r="1560" spans="2:7" x14ac:dyDescent="0.25">
      <c r="B1560" t="s">
        <v>149</v>
      </c>
      <c r="D1560" t="s">
        <v>696</v>
      </c>
      <c r="E1560" t="s">
        <v>149</v>
      </c>
      <c r="G1560">
        <v>0</v>
      </c>
    </row>
    <row r="1561" spans="2:7" x14ac:dyDescent="0.25">
      <c r="B1561" t="s">
        <v>149</v>
      </c>
      <c r="D1561" t="s">
        <v>696</v>
      </c>
      <c r="E1561" t="s">
        <v>149</v>
      </c>
      <c r="G1561">
        <v>0</v>
      </c>
    </row>
    <row r="1562" spans="2:7" x14ac:dyDescent="0.25">
      <c r="B1562" t="s">
        <v>149</v>
      </c>
      <c r="D1562" t="s">
        <v>696</v>
      </c>
      <c r="E1562" t="s">
        <v>149</v>
      </c>
      <c r="G1562">
        <v>0</v>
      </c>
    </row>
    <row r="1563" spans="2:7" x14ac:dyDescent="0.25">
      <c r="B1563" t="s">
        <v>149</v>
      </c>
      <c r="D1563" t="s">
        <v>696</v>
      </c>
      <c r="E1563" t="s">
        <v>149</v>
      </c>
      <c r="G1563">
        <v>0</v>
      </c>
    </row>
    <row r="1564" spans="2:7" x14ac:dyDescent="0.25">
      <c r="B1564" t="s">
        <v>149</v>
      </c>
      <c r="D1564" t="s">
        <v>696</v>
      </c>
      <c r="E1564" t="s">
        <v>149</v>
      </c>
      <c r="G1564">
        <v>0</v>
      </c>
    </row>
    <row r="1565" spans="2:7" x14ac:dyDescent="0.25">
      <c r="B1565" t="s">
        <v>149</v>
      </c>
      <c r="D1565" t="s">
        <v>696</v>
      </c>
      <c r="E1565" t="s">
        <v>149</v>
      </c>
      <c r="G1565">
        <v>0</v>
      </c>
    </row>
    <row r="1566" spans="2:7" x14ac:dyDescent="0.25">
      <c r="B1566" t="s">
        <v>149</v>
      </c>
      <c r="D1566" t="s">
        <v>696</v>
      </c>
      <c r="E1566" t="s">
        <v>149</v>
      </c>
      <c r="G1566">
        <v>0</v>
      </c>
    </row>
    <row r="1567" spans="2:7" x14ac:dyDescent="0.25">
      <c r="B1567" t="s">
        <v>149</v>
      </c>
      <c r="D1567" t="s">
        <v>696</v>
      </c>
      <c r="E1567" t="s">
        <v>149</v>
      </c>
      <c r="G1567">
        <v>0</v>
      </c>
    </row>
    <row r="1568" spans="2:7" x14ac:dyDescent="0.25">
      <c r="B1568" t="s">
        <v>149</v>
      </c>
      <c r="D1568" t="s">
        <v>696</v>
      </c>
      <c r="E1568" t="s">
        <v>149</v>
      </c>
      <c r="G1568">
        <v>0</v>
      </c>
    </row>
    <row r="1569" spans="2:7" x14ac:dyDescent="0.25">
      <c r="B1569" t="s">
        <v>149</v>
      </c>
      <c r="D1569" t="s">
        <v>696</v>
      </c>
      <c r="E1569" t="s">
        <v>149</v>
      </c>
      <c r="G1569">
        <v>0</v>
      </c>
    </row>
    <row r="1570" spans="2:7" x14ac:dyDescent="0.25">
      <c r="B1570" t="s">
        <v>149</v>
      </c>
      <c r="D1570" t="s">
        <v>696</v>
      </c>
      <c r="E1570" t="s">
        <v>149</v>
      </c>
      <c r="G1570">
        <v>0</v>
      </c>
    </row>
    <row r="1571" spans="2:7" x14ac:dyDescent="0.25">
      <c r="B1571" t="s">
        <v>149</v>
      </c>
      <c r="D1571" t="s">
        <v>696</v>
      </c>
      <c r="E1571" t="s">
        <v>149</v>
      </c>
      <c r="G1571">
        <v>0</v>
      </c>
    </row>
    <row r="1572" spans="2:7" x14ac:dyDescent="0.25">
      <c r="B1572" t="s">
        <v>149</v>
      </c>
      <c r="D1572" t="s">
        <v>696</v>
      </c>
      <c r="E1572" t="s">
        <v>149</v>
      </c>
      <c r="G1572">
        <v>0</v>
      </c>
    </row>
    <row r="1573" spans="2:7" x14ac:dyDescent="0.25">
      <c r="B1573" t="s">
        <v>149</v>
      </c>
      <c r="D1573" t="s">
        <v>696</v>
      </c>
      <c r="E1573" t="s">
        <v>149</v>
      </c>
      <c r="G1573">
        <v>0</v>
      </c>
    </row>
    <row r="1574" spans="2:7" x14ac:dyDescent="0.25">
      <c r="B1574" t="s">
        <v>149</v>
      </c>
      <c r="D1574" t="s">
        <v>696</v>
      </c>
      <c r="E1574" t="s">
        <v>149</v>
      </c>
      <c r="G1574">
        <v>0</v>
      </c>
    </row>
    <row r="1575" spans="2:7" x14ac:dyDescent="0.25">
      <c r="B1575" t="s">
        <v>149</v>
      </c>
      <c r="D1575" t="s">
        <v>696</v>
      </c>
      <c r="E1575" t="s">
        <v>149</v>
      </c>
      <c r="G1575">
        <v>0</v>
      </c>
    </row>
    <row r="1576" spans="2:7" x14ac:dyDescent="0.25">
      <c r="B1576" t="s">
        <v>149</v>
      </c>
      <c r="D1576" t="s">
        <v>696</v>
      </c>
      <c r="E1576" t="s">
        <v>149</v>
      </c>
      <c r="G1576">
        <v>0</v>
      </c>
    </row>
    <row r="1577" spans="2:7" x14ac:dyDescent="0.25">
      <c r="B1577" t="s">
        <v>149</v>
      </c>
      <c r="D1577" t="s">
        <v>696</v>
      </c>
      <c r="E1577" t="s">
        <v>149</v>
      </c>
      <c r="G1577">
        <v>0</v>
      </c>
    </row>
    <row r="1578" spans="2:7" x14ac:dyDescent="0.25">
      <c r="B1578" t="s">
        <v>149</v>
      </c>
      <c r="D1578" t="s">
        <v>696</v>
      </c>
      <c r="E1578" t="s">
        <v>149</v>
      </c>
      <c r="G1578">
        <v>0</v>
      </c>
    </row>
    <row r="1579" spans="2:7" x14ac:dyDescent="0.25">
      <c r="B1579" t="s">
        <v>149</v>
      </c>
      <c r="D1579" t="s">
        <v>696</v>
      </c>
      <c r="E1579" t="s">
        <v>149</v>
      </c>
      <c r="G1579">
        <v>0</v>
      </c>
    </row>
    <row r="1580" spans="2:7" x14ac:dyDescent="0.25">
      <c r="B1580" t="s">
        <v>149</v>
      </c>
      <c r="D1580" t="s">
        <v>696</v>
      </c>
      <c r="E1580" t="s">
        <v>149</v>
      </c>
      <c r="G1580">
        <v>0</v>
      </c>
    </row>
    <row r="1581" spans="2:7" x14ac:dyDescent="0.25">
      <c r="B1581" t="s">
        <v>149</v>
      </c>
      <c r="D1581" t="s">
        <v>696</v>
      </c>
      <c r="E1581" t="s">
        <v>149</v>
      </c>
      <c r="G1581">
        <v>0</v>
      </c>
    </row>
    <row r="1582" spans="2:7" x14ac:dyDescent="0.25">
      <c r="B1582" t="s">
        <v>149</v>
      </c>
      <c r="D1582" t="s">
        <v>696</v>
      </c>
      <c r="E1582" t="s">
        <v>149</v>
      </c>
      <c r="G1582">
        <v>0</v>
      </c>
    </row>
    <row r="1583" spans="2:7" x14ac:dyDescent="0.25">
      <c r="B1583" t="s">
        <v>149</v>
      </c>
      <c r="D1583" t="s">
        <v>696</v>
      </c>
      <c r="E1583" t="s">
        <v>149</v>
      </c>
      <c r="G1583">
        <v>0</v>
      </c>
    </row>
    <row r="1584" spans="2:7" x14ac:dyDescent="0.25">
      <c r="B1584" t="s">
        <v>149</v>
      </c>
      <c r="D1584" t="s">
        <v>696</v>
      </c>
      <c r="E1584" t="s">
        <v>149</v>
      </c>
      <c r="G1584">
        <v>0</v>
      </c>
    </row>
    <row r="1585" spans="2:7" x14ac:dyDescent="0.25">
      <c r="B1585" t="s">
        <v>149</v>
      </c>
      <c r="D1585" t="s">
        <v>696</v>
      </c>
      <c r="E1585" t="s">
        <v>149</v>
      </c>
      <c r="G1585">
        <v>0</v>
      </c>
    </row>
    <row r="1586" spans="2:7" x14ac:dyDescent="0.25">
      <c r="B1586" t="s">
        <v>149</v>
      </c>
      <c r="D1586" t="s">
        <v>696</v>
      </c>
      <c r="E1586" t="s">
        <v>149</v>
      </c>
      <c r="G1586">
        <v>0</v>
      </c>
    </row>
    <row r="1587" spans="2:7" x14ac:dyDescent="0.25">
      <c r="B1587" t="s">
        <v>149</v>
      </c>
      <c r="D1587" t="s">
        <v>696</v>
      </c>
      <c r="E1587" t="s">
        <v>149</v>
      </c>
      <c r="G1587">
        <v>0</v>
      </c>
    </row>
    <row r="1588" spans="2:7" x14ac:dyDescent="0.25">
      <c r="B1588" t="s">
        <v>149</v>
      </c>
      <c r="D1588" t="s">
        <v>696</v>
      </c>
      <c r="E1588" t="s">
        <v>149</v>
      </c>
      <c r="G1588">
        <v>0</v>
      </c>
    </row>
    <row r="1589" spans="2:7" x14ac:dyDescent="0.25">
      <c r="B1589" t="s">
        <v>149</v>
      </c>
      <c r="D1589" t="s">
        <v>696</v>
      </c>
      <c r="E1589" t="s">
        <v>149</v>
      </c>
      <c r="G1589">
        <v>0</v>
      </c>
    </row>
    <row r="1590" spans="2:7" x14ac:dyDescent="0.25">
      <c r="B1590" t="s">
        <v>149</v>
      </c>
      <c r="D1590" t="s">
        <v>696</v>
      </c>
      <c r="E1590" t="s">
        <v>149</v>
      </c>
      <c r="G1590">
        <v>0</v>
      </c>
    </row>
    <row r="1591" spans="2:7" x14ac:dyDescent="0.25">
      <c r="B1591" t="s">
        <v>149</v>
      </c>
      <c r="D1591" t="s">
        <v>696</v>
      </c>
      <c r="E1591" t="s">
        <v>149</v>
      </c>
      <c r="G1591">
        <v>0</v>
      </c>
    </row>
    <row r="1592" spans="2:7" x14ac:dyDescent="0.25">
      <c r="B1592" t="s">
        <v>149</v>
      </c>
      <c r="D1592" t="s">
        <v>696</v>
      </c>
      <c r="E1592" t="s">
        <v>149</v>
      </c>
      <c r="G1592">
        <v>0</v>
      </c>
    </row>
    <row r="1593" spans="2:7" x14ac:dyDescent="0.25">
      <c r="B1593" t="s">
        <v>149</v>
      </c>
      <c r="D1593" t="s">
        <v>696</v>
      </c>
      <c r="E1593" t="s">
        <v>149</v>
      </c>
      <c r="G1593">
        <v>0</v>
      </c>
    </row>
    <row r="1594" spans="2:7" x14ac:dyDescent="0.25">
      <c r="B1594" t="s">
        <v>149</v>
      </c>
      <c r="D1594" t="s">
        <v>696</v>
      </c>
      <c r="E1594" t="s">
        <v>149</v>
      </c>
      <c r="G1594">
        <v>0</v>
      </c>
    </row>
    <row r="1595" spans="2:7" x14ac:dyDescent="0.25">
      <c r="B1595" t="s">
        <v>149</v>
      </c>
      <c r="D1595" t="s">
        <v>696</v>
      </c>
      <c r="E1595" t="s">
        <v>149</v>
      </c>
      <c r="G1595">
        <v>0</v>
      </c>
    </row>
    <row r="1596" spans="2:7" x14ac:dyDescent="0.25">
      <c r="B1596" t="s">
        <v>149</v>
      </c>
      <c r="D1596" t="s">
        <v>696</v>
      </c>
      <c r="E1596" t="s">
        <v>149</v>
      </c>
      <c r="G1596">
        <v>0</v>
      </c>
    </row>
    <row r="1597" spans="2:7" x14ac:dyDescent="0.25">
      <c r="B1597" t="s">
        <v>149</v>
      </c>
      <c r="D1597" t="s">
        <v>696</v>
      </c>
      <c r="E1597" t="s">
        <v>149</v>
      </c>
      <c r="G1597">
        <v>0</v>
      </c>
    </row>
    <row r="1598" spans="2:7" x14ac:dyDescent="0.25">
      <c r="B1598" t="s">
        <v>149</v>
      </c>
      <c r="D1598" t="s">
        <v>696</v>
      </c>
      <c r="E1598" t="s">
        <v>149</v>
      </c>
      <c r="G1598">
        <v>0</v>
      </c>
    </row>
    <row r="1599" spans="2:7" x14ac:dyDescent="0.25">
      <c r="B1599" t="s">
        <v>149</v>
      </c>
      <c r="D1599" t="s">
        <v>696</v>
      </c>
      <c r="E1599" t="s">
        <v>149</v>
      </c>
      <c r="G1599">
        <v>0</v>
      </c>
    </row>
    <row r="1600" spans="2:7" x14ac:dyDescent="0.25">
      <c r="B1600" t="s">
        <v>149</v>
      </c>
      <c r="D1600" t="s">
        <v>696</v>
      </c>
      <c r="E1600" t="s">
        <v>149</v>
      </c>
      <c r="G1600">
        <v>0</v>
      </c>
    </row>
    <row r="1601" spans="2:7" x14ac:dyDescent="0.25">
      <c r="B1601" t="s">
        <v>149</v>
      </c>
      <c r="D1601" t="s">
        <v>696</v>
      </c>
      <c r="E1601" t="s">
        <v>149</v>
      </c>
      <c r="G1601">
        <v>0</v>
      </c>
    </row>
    <row r="1602" spans="2:7" x14ac:dyDescent="0.25">
      <c r="B1602" t="s">
        <v>149</v>
      </c>
      <c r="D1602" t="s">
        <v>696</v>
      </c>
      <c r="E1602" t="s">
        <v>149</v>
      </c>
      <c r="G1602">
        <v>0</v>
      </c>
    </row>
    <row r="1603" spans="2:7" x14ac:dyDescent="0.25">
      <c r="B1603" t="s">
        <v>149</v>
      </c>
      <c r="D1603" t="s">
        <v>696</v>
      </c>
      <c r="E1603" t="s">
        <v>149</v>
      </c>
      <c r="G1603">
        <v>0</v>
      </c>
    </row>
    <row r="1604" spans="2:7" x14ac:dyDescent="0.25">
      <c r="B1604" t="s">
        <v>149</v>
      </c>
      <c r="D1604" t="s">
        <v>696</v>
      </c>
      <c r="E1604" t="s">
        <v>149</v>
      </c>
      <c r="G1604">
        <v>0</v>
      </c>
    </row>
    <row r="1605" spans="2:7" x14ac:dyDescent="0.25">
      <c r="B1605" t="s">
        <v>149</v>
      </c>
      <c r="D1605" t="s">
        <v>696</v>
      </c>
      <c r="E1605" t="s">
        <v>149</v>
      </c>
      <c r="G1605">
        <v>0</v>
      </c>
    </row>
    <row r="1606" spans="2:7" x14ac:dyDescent="0.25">
      <c r="B1606" t="s">
        <v>149</v>
      </c>
      <c r="D1606" t="s">
        <v>696</v>
      </c>
      <c r="E1606" t="s">
        <v>149</v>
      </c>
      <c r="G1606">
        <v>0</v>
      </c>
    </row>
    <row r="1607" spans="2:7" x14ac:dyDescent="0.25">
      <c r="B1607" t="s">
        <v>149</v>
      </c>
      <c r="D1607" t="s">
        <v>696</v>
      </c>
      <c r="E1607" t="s">
        <v>149</v>
      </c>
      <c r="G1607">
        <v>0</v>
      </c>
    </row>
    <row r="1608" spans="2:7" x14ac:dyDescent="0.25">
      <c r="B1608" t="s">
        <v>149</v>
      </c>
      <c r="D1608" t="s">
        <v>696</v>
      </c>
      <c r="E1608" t="s">
        <v>149</v>
      </c>
      <c r="G1608">
        <v>0</v>
      </c>
    </row>
    <row r="1609" spans="2:7" x14ac:dyDescent="0.25">
      <c r="B1609" t="s">
        <v>149</v>
      </c>
      <c r="D1609" t="s">
        <v>696</v>
      </c>
      <c r="E1609" t="s">
        <v>149</v>
      </c>
      <c r="G1609">
        <v>0</v>
      </c>
    </row>
    <row r="1610" spans="2:7" x14ac:dyDescent="0.25">
      <c r="B1610" t="s">
        <v>149</v>
      </c>
      <c r="D1610" t="s">
        <v>696</v>
      </c>
      <c r="E1610" t="s">
        <v>149</v>
      </c>
      <c r="G1610">
        <v>0</v>
      </c>
    </row>
    <row r="1611" spans="2:7" x14ac:dyDescent="0.25">
      <c r="B1611" t="s">
        <v>149</v>
      </c>
      <c r="D1611" t="s">
        <v>696</v>
      </c>
      <c r="E1611" t="s">
        <v>149</v>
      </c>
      <c r="G1611">
        <v>0</v>
      </c>
    </row>
    <row r="1612" spans="2:7" x14ac:dyDescent="0.25">
      <c r="B1612" t="s">
        <v>149</v>
      </c>
      <c r="D1612" t="s">
        <v>696</v>
      </c>
      <c r="E1612" t="s">
        <v>149</v>
      </c>
      <c r="G1612">
        <v>0</v>
      </c>
    </row>
    <row r="1613" spans="2:7" x14ac:dyDescent="0.25">
      <c r="B1613" t="s">
        <v>149</v>
      </c>
      <c r="D1613" t="s">
        <v>696</v>
      </c>
      <c r="E1613" t="s">
        <v>149</v>
      </c>
      <c r="G1613">
        <v>0</v>
      </c>
    </row>
    <row r="1614" spans="2:7" x14ac:dyDescent="0.25">
      <c r="B1614" t="s">
        <v>149</v>
      </c>
      <c r="D1614" t="s">
        <v>696</v>
      </c>
      <c r="E1614" t="s">
        <v>149</v>
      </c>
      <c r="G1614">
        <v>0</v>
      </c>
    </row>
    <row r="1615" spans="2:7" x14ac:dyDescent="0.25">
      <c r="B1615" t="s">
        <v>149</v>
      </c>
      <c r="D1615" t="s">
        <v>696</v>
      </c>
      <c r="E1615" t="s">
        <v>149</v>
      </c>
      <c r="G1615">
        <v>0</v>
      </c>
    </row>
    <row r="1616" spans="2:7" x14ac:dyDescent="0.25">
      <c r="B1616" t="s">
        <v>149</v>
      </c>
      <c r="D1616" t="s">
        <v>696</v>
      </c>
      <c r="E1616" t="s">
        <v>149</v>
      </c>
      <c r="G1616">
        <v>0</v>
      </c>
    </row>
    <row r="1617" spans="2:7" x14ac:dyDescent="0.25">
      <c r="B1617" t="s">
        <v>149</v>
      </c>
      <c r="D1617" t="s">
        <v>696</v>
      </c>
      <c r="E1617" t="s">
        <v>149</v>
      </c>
      <c r="G1617">
        <v>0</v>
      </c>
    </row>
    <row r="1618" spans="2:7" x14ac:dyDescent="0.25">
      <c r="B1618" t="s">
        <v>149</v>
      </c>
      <c r="D1618" t="s">
        <v>696</v>
      </c>
      <c r="E1618" t="s">
        <v>149</v>
      </c>
      <c r="G1618">
        <v>0</v>
      </c>
    </row>
    <row r="1619" spans="2:7" x14ac:dyDescent="0.25">
      <c r="B1619" t="s">
        <v>149</v>
      </c>
      <c r="D1619" t="s">
        <v>696</v>
      </c>
      <c r="E1619" t="s">
        <v>149</v>
      </c>
      <c r="G1619">
        <v>0</v>
      </c>
    </row>
    <row r="1620" spans="2:7" x14ac:dyDescent="0.25">
      <c r="B1620" t="s">
        <v>149</v>
      </c>
      <c r="D1620" t="s">
        <v>696</v>
      </c>
      <c r="E1620" t="s">
        <v>149</v>
      </c>
      <c r="G1620">
        <v>0</v>
      </c>
    </row>
    <row r="1621" spans="2:7" x14ac:dyDescent="0.25">
      <c r="B1621" t="s">
        <v>149</v>
      </c>
      <c r="D1621" t="s">
        <v>696</v>
      </c>
      <c r="E1621" t="s">
        <v>149</v>
      </c>
      <c r="G1621">
        <v>0</v>
      </c>
    </row>
    <row r="1622" spans="2:7" x14ac:dyDescent="0.25">
      <c r="B1622" t="s">
        <v>149</v>
      </c>
      <c r="D1622" t="s">
        <v>696</v>
      </c>
      <c r="E1622" t="s">
        <v>149</v>
      </c>
      <c r="G1622">
        <v>0</v>
      </c>
    </row>
    <row r="1623" spans="2:7" x14ac:dyDescent="0.25">
      <c r="B1623" t="s">
        <v>149</v>
      </c>
      <c r="D1623" t="s">
        <v>696</v>
      </c>
      <c r="E1623" t="s">
        <v>149</v>
      </c>
      <c r="G1623">
        <v>0</v>
      </c>
    </row>
    <row r="1624" spans="2:7" x14ac:dyDescent="0.25">
      <c r="B1624" t="s">
        <v>149</v>
      </c>
      <c r="D1624" t="s">
        <v>696</v>
      </c>
      <c r="E1624" t="s">
        <v>149</v>
      </c>
      <c r="G1624">
        <v>0</v>
      </c>
    </row>
    <row r="1625" spans="2:7" x14ac:dyDescent="0.25">
      <c r="B1625" t="s">
        <v>149</v>
      </c>
      <c r="D1625" t="s">
        <v>696</v>
      </c>
      <c r="E1625" t="s">
        <v>149</v>
      </c>
      <c r="G1625">
        <v>0</v>
      </c>
    </row>
    <row r="1626" spans="2:7" x14ac:dyDescent="0.25">
      <c r="B1626" t="s">
        <v>149</v>
      </c>
      <c r="D1626" t="s">
        <v>696</v>
      </c>
      <c r="E1626" t="s">
        <v>149</v>
      </c>
      <c r="G1626">
        <v>0</v>
      </c>
    </row>
    <row r="1627" spans="2:7" x14ac:dyDescent="0.25">
      <c r="B1627" t="s">
        <v>149</v>
      </c>
      <c r="D1627" t="s">
        <v>696</v>
      </c>
      <c r="E1627" t="s">
        <v>149</v>
      </c>
      <c r="G1627">
        <v>0</v>
      </c>
    </row>
    <row r="1628" spans="2:7" x14ac:dyDescent="0.25">
      <c r="B1628" t="s">
        <v>149</v>
      </c>
      <c r="D1628" t="s">
        <v>696</v>
      </c>
      <c r="E1628" t="s">
        <v>149</v>
      </c>
      <c r="G1628">
        <v>0</v>
      </c>
    </row>
    <row r="1629" spans="2:7" x14ac:dyDescent="0.25">
      <c r="B1629" t="s">
        <v>149</v>
      </c>
      <c r="D1629" t="s">
        <v>696</v>
      </c>
      <c r="E1629" t="s">
        <v>149</v>
      </c>
      <c r="G1629">
        <v>0</v>
      </c>
    </row>
    <row r="1630" spans="2:7" x14ac:dyDescent="0.25">
      <c r="B1630" t="s">
        <v>149</v>
      </c>
      <c r="D1630" t="s">
        <v>696</v>
      </c>
      <c r="E1630" t="s">
        <v>149</v>
      </c>
      <c r="G1630">
        <v>0</v>
      </c>
    </row>
    <row r="1631" spans="2:7" x14ac:dyDescent="0.25">
      <c r="B1631" t="s">
        <v>149</v>
      </c>
      <c r="D1631" t="s">
        <v>696</v>
      </c>
      <c r="E1631" t="s">
        <v>149</v>
      </c>
      <c r="G1631">
        <v>0</v>
      </c>
    </row>
    <row r="1632" spans="2:7" x14ac:dyDescent="0.25">
      <c r="B1632" t="s">
        <v>149</v>
      </c>
      <c r="D1632" t="s">
        <v>696</v>
      </c>
      <c r="E1632" t="s">
        <v>149</v>
      </c>
      <c r="G1632">
        <v>0</v>
      </c>
    </row>
    <row r="1633" spans="2:7" x14ac:dyDescent="0.25">
      <c r="B1633" t="s">
        <v>149</v>
      </c>
      <c r="D1633" t="s">
        <v>696</v>
      </c>
      <c r="E1633" t="s">
        <v>149</v>
      </c>
      <c r="G1633">
        <v>0</v>
      </c>
    </row>
    <row r="1634" spans="2:7" x14ac:dyDescent="0.25">
      <c r="B1634" t="s">
        <v>149</v>
      </c>
      <c r="D1634" t="s">
        <v>696</v>
      </c>
      <c r="E1634" t="s">
        <v>149</v>
      </c>
      <c r="G1634">
        <v>0</v>
      </c>
    </row>
    <row r="1635" spans="2:7" x14ac:dyDescent="0.25">
      <c r="B1635" t="s">
        <v>149</v>
      </c>
      <c r="D1635" t="s">
        <v>696</v>
      </c>
      <c r="E1635" t="s">
        <v>149</v>
      </c>
      <c r="G1635">
        <v>0</v>
      </c>
    </row>
    <row r="1636" spans="2:7" x14ac:dyDescent="0.25">
      <c r="B1636" t="s">
        <v>149</v>
      </c>
      <c r="D1636" t="s">
        <v>696</v>
      </c>
      <c r="E1636" t="s">
        <v>149</v>
      </c>
      <c r="G1636">
        <v>0</v>
      </c>
    </row>
    <row r="1637" spans="2:7" x14ac:dyDescent="0.25">
      <c r="B1637" t="s">
        <v>149</v>
      </c>
      <c r="D1637" t="s">
        <v>696</v>
      </c>
      <c r="E1637" t="s">
        <v>149</v>
      </c>
      <c r="G1637">
        <v>0</v>
      </c>
    </row>
    <row r="1638" spans="2:7" x14ac:dyDescent="0.25">
      <c r="B1638" t="s">
        <v>149</v>
      </c>
      <c r="D1638" t="s">
        <v>696</v>
      </c>
      <c r="E1638" t="s">
        <v>149</v>
      </c>
      <c r="G1638">
        <v>0</v>
      </c>
    </row>
    <row r="1639" spans="2:7" x14ac:dyDescent="0.25">
      <c r="B1639" t="s">
        <v>149</v>
      </c>
      <c r="D1639" t="s">
        <v>696</v>
      </c>
      <c r="E1639" t="s">
        <v>149</v>
      </c>
      <c r="G1639">
        <v>0</v>
      </c>
    </row>
    <row r="1640" spans="2:7" x14ac:dyDescent="0.25">
      <c r="B1640" t="s">
        <v>149</v>
      </c>
      <c r="D1640" t="s">
        <v>696</v>
      </c>
      <c r="E1640" t="s">
        <v>149</v>
      </c>
      <c r="G1640">
        <v>0</v>
      </c>
    </row>
    <row r="1641" spans="2:7" x14ac:dyDescent="0.25">
      <c r="B1641" t="s">
        <v>149</v>
      </c>
      <c r="D1641" t="s">
        <v>696</v>
      </c>
      <c r="E1641" t="s">
        <v>149</v>
      </c>
      <c r="G1641">
        <v>0</v>
      </c>
    </row>
    <row r="1642" spans="2:7" x14ac:dyDescent="0.25">
      <c r="B1642" t="s">
        <v>149</v>
      </c>
      <c r="D1642" t="s">
        <v>696</v>
      </c>
      <c r="E1642" t="s">
        <v>149</v>
      </c>
      <c r="G1642">
        <v>0</v>
      </c>
    </row>
    <row r="1643" spans="2:7" x14ac:dyDescent="0.25">
      <c r="B1643" t="s">
        <v>149</v>
      </c>
      <c r="D1643" t="s">
        <v>696</v>
      </c>
      <c r="E1643" t="s">
        <v>149</v>
      </c>
      <c r="G1643">
        <v>0</v>
      </c>
    </row>
    <row r="1644" spans="2:7" x14ac:dyDescent="0.25">
      <c r="B1644" t="s">
        <v>149</v>
      </c>
      <c r="D1644" t="s">
        <v>696</v>
      </c>
      <c r="E1644" t="s">
        <v>149</v>
      </c>
      <c r="G1644">
        <v>0</v>
      </c>
    </row>
    <row r="1645" spans="2:7" x14ac:dyDescent="0.25">
      <c r="B1645" t="s">
        <v>149</v>
      </c>
      <c r="D1645" t="s">
        <v>696</v>
      </c>
      <c r="E1645" t="s">
        <v>149</v>
      </c>
      <c r="G1645">
        <v>0</v>
      </c>
    </row>
    <row r="1646" spans="2:7" x14ac:dyDescent="0.25">
      <c r="B1646" t="s">
        <v>149</v>
      </c>
      <c r="D1646" t="s">
        <v>696</v>
      </c>
      <c r="E1646" t="s">
        <v>149</v>
      </c>
      <c r="G1646">
        <v>0</v>
      </c>
    </row>
    <row r="1647" spans="2:7" x14ac:dyDescent="0.25">
      <c r="B1647" t="s">
        <v>149</v>
      </c>
      <c r="D1647" t="s">
        <v>696</v>
      </c>
      <c r="E1647" t="s">
        <v>149</v>
      </c>
      <c r="G1647">
        <v>0</v>
      </c>
    </row>
    <row r="1648" spans="2:7" x14ac:dyDescent="0.25">
      <c r="B1648" t="s">
        <v>149</v>
      </c>
      <c r="D1648" t="s">
        <v>696</v>
      </c>
      <c r="E1648" t="s">
        <v>149</v>
      </c>
      <c r="G1648">
        <v>0</v>
      </c>
    </row>
    <row r="1649" spans="2:7" x14ac:dyDescent="0.25">
      <c r="B1649" t="s">
        <v>149</v>
      </c>
      <c r="D1649" t="s">
        <v>696</v>
      </c>
      <c r="E1649" t="s">
        <v>149</v>
      </c>
      <c r="G1649">
        <v>0</v>
      </c>
    </row>
    <row r="1650" spans="2:7" x14ac:dyDescent="0.25">
      <c r="B1650" t="s">
        <v>149</v>
      </c>
      <c r="D1650" t="s">
        <v>696</v>
      </c>
      <c r="E1650" t="s">
        <v>149</v>
      </c>
      <c r="G1650">
        <v>0</v>
      </c>
    </row>
    <row r="1651" spans="2:7" x14ac:dyDescent="0.25">
      <c r="B1651" t="s">
        <v>149</v>
      </c>
      <c r="D1651" t="s">
        <v>696</v>
      </c>
      <c r="E1651" t="s">
        <v>149</v>
      </c>
      <c r="G1651">
        <v>0</v>
      </c>
    </row>
    <row r="1652" spans="2:7" x14ac:dyDescent="0.25">
      <c r="B1652" t="s">
        <v>149</v>
      </c>
      <c r="D1652" t="s">
        <v>696</v>
      </c>
      <c r="E1652" t="s">
        <v>149</v>
      </c>
      <c r="G1652">
        <v>0</v>
      </c>
    </row>
    <row r="1653" spans="2:7" x14ac:dyDescent="0.25">
      <c r="B1653" t="s">
        <v>149</v>
      </c>
      <c r="D1653" t="s">
        <v>696</v>
      </c>
      <c r="E1653" t="s">
        <v>149</v>
      </c>
      <c r="G1653">
        <v>0</v>
      </c>
    </row>
    <row r="1654" spans="2:7" x14ac:dyDescent="0.25">
      <c r="B1654" t="s">
        <v>149</v>
      </c>
      <c r="D1654" t="s">
        <v>696</v>
      </c>
      <c r="E1654" t="s">
        <v>149</v>
      </c>
      <c r="G1654">
        <v>0</v>
      </c>
    </row>
    <row r="1655" spans="2:7" x14ac:dyDescent="0.25">
      <c r="B1655" t="s">
        <v>149</v>
      </c>
      <c r="D1655" t="s">
        <v>696</v>
      </c>
      <c r="E1655" t="s">
        <v>149</v>
      </c>
      <c r="G1655">
        <v>0</v>
      </c>
    </row>
    <row r="1656" spans="2:7" x14ac:dyDescent="0.25">
      <c r="B1656" t="s">
        <v>149</v>
      </c>
      <c r="D1656" t="s">
        <v>696</v>
      </c>
      <c r="E1656" t="s">
        <v>149</v>
      </c>
      <c r="G1656">
        <v>0</v>
      </c>
    </row>
    <row r="1657" spans="2:7" x14ac:dyDescent="0.25">
      <c r="B1657" t="s">
        <v>149</v>
      </c>
      <c r="D1657" t="s">
        <v>696</v>
      </c>
      <c r="E1657" t="s">
        <v>149</v>
      </c>
      <c r="G1657">
        <v>0</v>
      </c>
    </row>
    <row r="1658" spans="2:7" x14ac:dyDescent="0.25">
      <c r="B1658" t="s">
        <v>149</v>
      </c>
      <c r="D1658" t="s">
        <v>696</v>
      </c>
      <c r="E1658" t="s">
        <v>149</v>
      </c>
      <c r="G1658">
        <v>0</v>
      </c>
    </row>
    <row r="1659" spans="2:7" x14ac:dyDescent="0.25">
      <c r="B1659" t="s">
        <v>149</v>
      </c>
      <c r="D1659" t="s">
        <v>696</v>
      </c>
      <c r="E1659" t="s">
        <v>149</v>
      </c>
      <c r="G1659">
        <v>0</v>
      </c>
    </row>
    <row r="1660" spans="2:7" x14ac:dyDescent="0.25">
      <c r="B1660" t="s">
        <v>149</v>
      </c>
      <c r="D1660" t="s">
        <v>696</v>
      </c>
      <c r="E1660" t="s">
        <v>149</v>
      </c>
      <c r="G1660">
        <v>0</v>
      </c>
    </row>
    <row r="1661" spans="2:7" x14ac:dyDescent="0.25">
      <c r="B1661" t="s">
        <v>149</v>
      </c>
      <c r="D1661" t="s">
        <v>696</v>
      </c>
      <c r="E1661" t="s">
        <v>149</v>
      </c>
      <c r="G1661">
        <v>0</v>
      </c>
    </row>
    <row r="1662" spans="2:7" x14ac:dyDescent="0.25">
      <c r="B1662" t="s">
        <v>149</v>
      </c>
      <c r="D1662" t="s">
        <v>696</v>
      </c>
      <c r="E1662" t="s">
        <v>149</v>
      </c>
      <c r="G1662">
        <v>0</v>
      </c>
    </row>
    <row r="1663" spans="2:7" x14ac:dyDescent="0.25">
      <c r="B1663" t="s">
        <v>149</v>
      </c>
      <c r="D1663" t="s">
        <v>696</v>
      </c>
      <c r="E1663" t="s">
        <v>149</v>
      </c>
      <c r="G1663">
        <v>0</v>
      </c>
    </row>
    <row r="1664" spans="2:7" x14ac:dyDescent="0.25">
      <c r="B1664" t="s">
        <v>149</v>
      </c>
      <c r="D1664" t="s">
        <v>696</v>
      </c>
      <c r="E1664" t="s">
        <v>149</v>
      </c>
      <c r="G1664">
        <v>0</v>
      </c>
    </row>
    <row r="1665" spans="2:7" x14ac:dyDescent="0.25">
      <c r="B1665" t="s">
        <v>149</v>
      </c>
      <c r="D1665" t="s">
        <v>696</v>
      </c>
      <c r="E1665" t="s">
        <v>149</v>
      </c>
      <c r="G1665">
        <v>0</v>
      </c>
    </row>
    <row r="1666" spans="2:7" x14ac:dyDescent="0.25">
      <c r="B1666" t="s">
        <v>149</v>
      </c>
      <c r="D1666" t="s">
        <v>696</v>
      </c>
      <c r="E1666" t="s">
        <v>149</v>
      </c>
      <c r="G1666">
        <v>0</v>
      </c>
    </row>
    <row r="1667" spans="2:7" x14ac:dyDescent="0.25">
      <c r="B1667" t="s">
        <v>149</v>
      </c>
      <c r="D1667" t="s">
        <v>696</v>
      </c>
      <c r="E1667" t="s">
        <v>149</v>
      </c>
      <c r="G1667">
        <v>0</v>
      </c>
    </row>
    <row r="1668" spans="2:7" x14ac:dyDescent="0.25">
      <c r="B1668" t="s">
        <v>149</v>
      </c>
      <c r="D1668" t="s">
        <v>696</v>
      </c>
      <c r="E1668" t="s">
        <v>149</v>
      </c>
      <c r="G1668">
        <v>0</v>
      </c>
    </row>
    <row r="1669" spans="2:7" x14ac:dyDescent="0.25">
      <c r="B1669" t="s">
        <v>149</v>
      </c>
      <c r="D1669" t="s">
        <v>696</v>
      </c>
      <c r="E1669" t="s">
        <v>149</v>
      </c>
      <c r="G1669">
        <v>0</v>
      </c>
    </row>
    <row r="1670" spans="2:7" x14ac:dyDescent="0.25">
      <c r="B1670" t="s">
        <v>149</v>
      </c>
      <c r="D1670" t="s">
        <v>696</v>
      </c>
      <c r="E1670" t="s">
        <v>149</v>
      </c>
      <c r="G1670">
        <v>0</v>
      </c>
    </row>
    <row r="1671" spans="2:7" x14ac:dyDescent="0.25">
      <c r="B1671" t="s">
        <v>149</v>
      </c>
      <c r="D1671" t="s">
        <v>696</v>
      </c>
      <c r="E1671" t="s">
        <v>149</v>
      </c>
      <c r="G1671">
        <v>0</v>
      </c>
    </row>
    <row r="1672" spans="2:7" x14ac:dyDescent="0.25">
      <c r="B1672" t="s">
        <v>149</v>
      </c>
      <c r="D1672" t="s">
        <v>696</v>
      </c>
      <c r="E1672" t="s">
        <v>149</v>
      </c>
      <c r="G1672">
        <v>0</v>
      </c>
    </row>
    <row r="1673" spans="2:7" x14ac:dyDescent="0.25">
      <c r="B1673" t="s">
        <v>149</v>
      </c>
      <c r="D1673" t="s">
        <v>696</v>
      </c>
      <c r="E1673" t="s">
        <v>149</v>
      </c>
      <c r="G1673">
        <v>0</v>
      </c>
    </row>
    <row r="1674" spans="2:7" x14ac:dyDescent="0.25">
      <c r="B1674" t="s">
        <v>149</v>
      </c>
      <c r="D1674" t="s">
        <v>696</v>
      </c>
      <c r="E1674" t="s">
        <v>149</v>
      </c>
      <c r="G1674">
        <v>0</v>
      </c>
    </row>
    <row r="1675" spans="2:7" x14ac:dyDescent="0.25">
      <c r="B1675" t="s">
        <v>149</v>
      </c>
      <c r="D1675" t="s">
        <v>696</v>
      </c>
      <c r="E1675" t="s">
        <v>149</v>
      </c>
      <c r="G1675">
        <v>0</v>
      </c>
    </row>
    <row r="1676" spans="2:7" x14ac:dyDescent="0.25">
      <c r="B1676" t="s">
        <v>149</v>
      </c>
      <c r="D1676" t="s">
        <v>696</v>
      </c>
      <c r="E1676" t="s">
        <v>149</v>
      </c>
      <c r="G1676">
        <v>0</v>
      </c>
    </row>
    <row r="1677" spans="2:7" x14ac:dyDescent="0.25">
      <c r="B1677" t="s">
        <v>149</v>
      </c>
      <c r="D1677" t="s">
        <v>696</v>
      </c>
      <c r="E1677" t="s">
        <v>149</v>
      </c>
      <c r="G1677">
        <v>0</v>
      </c>
    </row>
    <row r="1678" spans="2:7" x14ac:dyDescent="0.25">
      <c r="B1678" t="s">
        <v>149</v>
      </c>
      <c r="D1678" t="s">
        <v>696</v>
      </c>
      <c r="E1678" t="s">
        <v>149</v>
      </c>
      <c r="G1678">
        <v>0</v>
      </c>
    </row>
    <row r="1679" spans="2:7" x14ac:dyDescent="0.25">
      <c r="B1679" t="s">
        <v>149</v>
      </c>
      <c r="D1679" t="s">
        <v>696</v>
      </c>
      <c r="E1679" t="s">
        <v>149</v>
      </c>
      <c r="G1679">
        <v>0</v>
      </c>
    </row>
    <row r="1680" spans="2:7" x14ac:dyDescent="0.25">
      <c r="B1680" t="s">
        <v>149</v>
      </c>
      <c r="D1680" t="s">
        <v>696</v>
      </c>
      <c r="E1680" t="s">
        <v>149</v>
      </c>
      <c r="G1680">
        <v>0</v>
      </c>
    </row>
    <row r="1681" spans="2:7" x14ac:dyDescent="0.25">
      <c r="B1681" t="s">
        <v>149</v>
      </c>
      <c r="D1681" t="s">
        <v>696</v>
      </c>
      <c r="E1681" t="s">
        <v>149</v>
      </c>
      <c r="G1681">
        <v>0</v>
      </c>
    </row>
    <row r="1682" spans="2:7" x14ac:dyDescent="0.25">
      <c r="B1682" t="s">
        <v>149</v>
      </c>
      <c r="D1682" t="s">
        <v>696</v>
      </c>
      <c r="E1682" t="s">
        <v>149</v>
      </c>
      <c r="G1682">
        <v>0</v>
      </c>
    </row>
    <row r="1683" spans="2:7" x14ac:dyDescent="0.25">
      <c r="B1683" t="s">
        <v>149</v>
      </c>
      <c r="D1683" t="s">
        <v>696</v>
      </c>
      <c r="E1683" t="s">
        <v>149</v>
      </c>
      <c r="G1683">
        <v>0</v>
      </c>
    </row>
    <row r="1684" spans="2:7" x14ac:dyDescent="0.25">
      <c r="B1684" t="s">
        <v>149</v>
      </c>
      <c r="D1684" t="s">
        <v>696</v>
      </c>
      <c r="E1684" t="s">
        <v>149</v>
      </c>
      <c r="G1684">
        <v>0</v>
      </c>
    </row>
    <row r="1685" spans="2:7" x14ac:dyDescent="0.25">
      <c r="B1685" t="s">
        <v>149</v>
      </c>
      <c r="D1685" t="s">
        <v>696</v>
      </c>
      <c r="E1685" t="s">
        <v>149</v>
      </c>
      <c r="G1685">
        <v>0</v>
      </c>
    </row>
    <row r="1686" spans="2:7" x14ac:dyDescent="0.25">
      <c r="B1686" t="s">
        <v>149</v>
      </c>
      <c r="D1686" t="s">
        <v>696</v>
      </c>
      <c r="E1686" t="s">
        <v>149</v>
      </c>
      <c r="G1686">
        <v>0</v>
      </c>
    </row>
    <row r="1687" spans="2:7" x14ac:dyDescent="0.25">
      <c r="B1687" t="s">
        <v>149</v>
      </c>
      <c r="D1687" t="s">
        <v>696</v>
      </c>
      <c r="E1687" t="s">
        <v>149</v>
      </c>
      <c r="G1687">
        <v>0</v>
      </c>
    </row>
    <row r="1688" spans="2:7" x14ac:dyDescent="0.25">
      <c r="B1688" t="s">
        <v>149</v>
      </c>
      <c r="D1688" t="s">
        <v>696</v>
      </c>
      <c r="E1688" t="s">
        <v>149</v>
      </c>
      <c r="G1688">
        <v>0</v>
      </c>
    </row>
    <row r="1689" spans="2:7" x14ac:dyDescent="0.25">
      <c r="B1689" t="s">
        <v>149</v>
      </c>
      <c r="D1689" t="s">
        <v>696</v>
      </c>
      <c r="E1689" t="s">
        <v>149</v>
      </c>
      <c r="G1689">
        <v>0</v>
      </c>
    </row>
    <row r="1690" spans="2:7" x14ac:dyDescent="0.25">
      <c r="B1690" t="s">
        <v>149</v>
      </c>
      <c r="D1690" t="s">
        <v>696</v>
      </c>
      <c r="E1690" t="s">
        <v>149</v>
      </c>
      <c r="G1690">
        <v>0</v>
      </c>
    </row>
    <row r="1691" spans="2:7" x14ac:dyDescent="0.25">
      <c r="B1691" t="s">
        <v>149</v>
      </c>
      <c r="D1691" t="s">
        <v>696</v>
      </c>
      <c r="E1691" t="s">
        <v>149</v>
      </c>
      <c r="G1691">
        <v>0</v>
      </c>
    </row>
    <row r="1692" spans="2:7" x14ac:dyDescent="0.25">
      <c r="B1692" t="s">
        <v>149</v>
      </c>
      <c r="D1692" t="s">
        <v>696</v>
      </c>
      <c r="E1692" t="s">
        <v>149</v>
      </c>
      <c r="G1692">
        <v>0</v>
      </c>
    </row>
    <row r="1693" spans="2:7" x14ac:dyDescent="0.25">
      <c r="B1693" t="s">
        <v>149</v>
      </c>
      <c r="D1693" t="s">
        <v>696</v>
      </c>
      <c r="E1693" t="s">
        <v>149</v>
      </c>
      <c r="G1693">
        <v>0</v>
      </c>
    </row>
    <row r="1694" spans="2:7" x14ac:dyDescent="0.25">
      <c r="B1694" t="s">
        <v>149</v>
      </c>
      <c r="D1694" t="s">
        <v>696</v>
      </c>
      <c r="E1694" t="s">
        <v>149</v>
      </c>
      <c r="G1694">
        <v>0</v>
      </c>
    </row>
    <row r="1695" spans="2:7" x14ac:dyDescent="0.25">
      <c r="B1695" t="s">
        <v>149</v>
      </c>
      <c r="D1695" t="s">
        <v>696</v>
      </c>
      <c r="E1695" t="s">
        <v>149</v>
      </c>
      <c r="G1695">
        <v>0</v>
      </c>
    </row>
    <row r="1696" spans="2:7" x14ac:dyDescent="0.25">
      <c r="B1696" t="s">
        <v>149</v>
      </c>
      <c r="D1696" t="s">
        <v>696</v>
      </c>
      <c r="E1696" t="s">
        <v>149</v>
      </c>
      <c r="G1696">
        <v>0</v>
      </c>
    </row>
    <row r="1697" spans="2:7" x14ac:dyDescent="0.25">
      <c r="B1697" t="s">
        <v>149</v>
      </c>
      <c r="D1697" t="s">
        <v>696</v>
      </c>
      <c r="E1697" t="s">
        <v>149</v>
      </c>
      <c r="G1697">
        <v>0</v>
      </c>
    </row>
    <row r="1698" spans="2:7" x14ac:dyDescent="0.25">
      <c r="B1698" t="s">
        <v>149</v>
      </c>
      <c r="D1698" t="s">
        <v>696</v>
      </c>
      <c r="E1698" t="s">
        <v>149</v>
      </c>
      <c r="G1698">
        <v>0</v>
      </c>
    </row>
    <row r="1699" spans="2:7" x14ac:dyDescent="0.25">
      <c r="B1699" t="s">
        <v>149</v>
      </c>
      <c r="D1699" t="s">
        <v>696</v>
      </c>
      <c r="E1699" t="s">
        <v>149</v>
      </c>
      <c r="G1699">
        <v>0</v>
      </c>
    </row>
    <row r="1700" spans="2:7" x14ac:dyDescent="0.25">
      <c r="B1700" t="s">
        <v>149</v>
      </c>
      <c r="D1700" t="s">
        <v>696</v>
      </c>
      <c r="E1700" t="s">
        <v>149</v>
      </c>
      <c r="G1700">
        <v>0</v>
      </c>
    </row>
    <row r="1701" spans="2:7" x14ac:dyDescent="0.25">
      <c r="B1701" t="s">
        <v>149</v>
      </c>
      <c r="D1701" t="s">
        <v>696</v>
      </c>
      <c r="E1701" t="s">
        <v>149</v>
      </c>
      <c r="G1701">
        <v>0</v>
      </c>
    </row>
    <row r="1702" spans="2:7" x14ac:dyDescent="0.25">
      <c r="B1702" t="s">
        <v>149</v>
      </c>
      <c r="D1702" t="s">
        <v>696</v>
      </c>
      <c r="E1702" t="s">
        <v>149</v>
      </c>
      <c r="G1702">
        <v>0</v>
      </c>
    </row>
    <row r="1703" spans="2:7" x14ac:dyDescent="0.25">
      <c r="B1703" t="s">
        <v>149</v>
      </c>
      <c r="D1703" t="s">
        <v>696</v>
      </c>
      <c r="E1703" t="s">
        <v>149</v>
      </c>
      <c r="G1703">
        <v>0</v>
      </c>
    </row>
    <row r="1704" spans="2:7" x14ac:dyDescent="0.25">
      <c r="B1704" t="s">
        <v>149</v>
      </c>
      <c r="D1704" t="s">
        <v>696</v>
      </c>
      <c r="E1704" t="s">
        <v>149</v>
      </c>
      <c r="G1704">
        <v>0</v>
      </c>
    </row>
    <row r="1705" spans="2:7" x14ac:dyDescent="0.25">
      <c r="B1705" t="s">
        <v>149</v>
      </c>
      <c r="D1705" t="s">
        <v>696</v>
      </c>
      <c r="E1705" t="s">
        <v>149</v>
      </c>
      <c r="G1705">
        <v>0</v>
      </c>
    </row>
    <row r="1706" spans="2:7" x14ac:dyDescent="0.25">
      <c r="B1706" t="s">
        <v>149</v>
      </c>
      <c r="D1706" t="s">
        <v>696</v>
      </c>
      <c r="E1706" t="s">
        <v>149</v>
      </c>
      <c r="G1706">
        <v>0</v>
      </c>
    </row>
    <row r="1707" spans="2:7" x14ac:dyDescent="0.25">
      <c r="B1707" t="s">
        <v>149</v>
      </c>
      <c r="D1707" t="s">
        <v>696</v>
      </c>
      <c r="E1707" t="s">
        <v>149</v>
      </c>
      <c r="G1707">
        <v>0</v>
      </c>
    </row>
    <row r="1708" spans="2:7" x14ac:dyDescent="0.25">
      <c r="B1708" t="s">
        <v>149</v>
      </c>
      <c r="D1708" t="s">
        <v>696</v>
      </c>
      <c r="E1708" t="s">
        <v>149</v>
      </c>
      <c r="G1708">
        <v>0</v>
      </c>
    </row>
    <row r="1709" spans="2:7" x14ac:dyDescent="0.25">
      <c r="B1709" t="s">
        <v>149</v>
      </c>
      <c r="D1709" t="s">
        <v>696</v>
      </c>
      <c r="E1709" t="s">
        <v>149</v>
      </c>
      <c r="G1709">
        <v>0</v>
      </c>
    </row>
    <row r="1710" spans="2:7" x14ac:dyDescent="0.25">
      <c r="B1710" t="s">
        <v>149</v>
      </c>
      <c r="D1710" t="s">
        <v>696</v>
      </c>
      <c r="E1710" t="s">
        <v>149</v>
      </c>
      <c r="G1710">
        <v>0</v>
      </c>
    </row>
    <row r="1711" spans="2:7" x14ac:dyDescent="0.25">
      <c r="B1711" t="s">
        <v>149</v>
      </c>
      <c r="D1711" t="s">
        <v>696</v>
      </c>
      <c r="E1711" t="s">
        <v>149</v>
      </c>
      <c r="G1711">
        <v>0</v>
      </c>
    </row>
    <row r="1712" spans="2:7" x14ac:dyDescent="0.25">
      <c r="B1712" t="s">
        <v>149</v>
      </c>
      <c r="D1712" t="s">
        <v>696</v>
      </c>
      <c r="E1712" t="s">
        <v>149</v>
      </c>
      <c r="G1712">
        <v>0</v>
      </c>
    </row>
    <row r="1713" spans="2:7" x14ac:dyDescent="0.25">
      <c r="B1713" t="s">
        <v>149</v>
      </c>
      <c r="D1713" t="s">
        <v>696</v>
      </c>
      <c r="E1713" t="s">
        <v>149</v>
      </c>
      <c r="G1713">
        <v>0</v>
      </c>
    </row>
    <row r="1714" spans="2:7" x14ac:dyDescent="0.25">
      <c r="B1714" t="s">
        <v>149</v>
      </c>
      <c r="D1714" t="s">
        <v>696</v>
      </c>
      <c r="E1714" t="s">
        <v>149</v>
      </c>
      <c r="G1714">
        <v>0</v>
      </c>
    </row>
    <row r="1715" spans="2:7" x14ac:dyDescent="0.25">
      <c r="B1715" t="s">
        <v>149</v>
      </c>
      <c r="D1715" t="s">
        <v>696</v>
      </c>
      <c r="E1715" t="s">
        <v>149</v>
      </c>
      <c r="G1715">
        <v>0</v>
      </c>
    </row>
    <row r="1716" spans="2:7" x14ac:dyDescent="0.25">
      <c r="B1716" t="s">
        <v>149</v>
      </c>
      <c r="D1716" t="s">
        <v>696</v>
      </c>
      <c r="E1716" t="s">
        <v>149</v>
      </c>
      <c r="G1716">
        <v>0</v>
      </c>
    </row>
    <row r="1717" spans="2:7" x14ac:dyDescent="0.25">
      <c r="B1717" t="s">
        <v>149</v>
      </c>
      <c r="D1717" t="s">
        <v>696</v>
      </c>
      <c r="E1717" t="s">
        <v>149</v>
      </c>
      <c r="G1717">
        <v>0</v>
      </c>
    </row>
    <row r="1718" spans="2:7" x14ac:dyDescent="0.25">
      <c r="B1718" t="s">
        <v>149</v>
      </c>
      <c r="D1718" t="s">
        <v>696</v>
      </c>
      <c r="E1718" t="s">
        <v>149</v>
      </c>
      <c r="G1718">
        <v>0</v>
      </c>
    </row>
    <row r="1719" spans="2:7" x14ac:dyDescent="0.25">
      <c r="B1719" t="s">
        <v>149</v>
      </c>
      <c r="D1719" t="s">
        <v>696</v>
      </c>
      <c r="E1719" t="s">
        <v>149</v>
      </c>
      <c r="G1719">
        <v>0</v>
      </c>
    </row>
    <row r="1720" spans="2:7" x14ac:dyDescent="0.25">
      <c r="B1720" t="s">
        <v>149</v>
      </c>
      <c r="D1720" t="s">
        <v>696</v>
      </c>
      <c r="E1720" t="s">
        <v>149</v>
      </c>
      <c r="G1720">
        <v>0</v>
      </c>
    </row>
    <row r="1721" spans="2:7" x14ac:dyDescent="0.25">
      <c r="B1721" t="s">
        <v>149</v>
      </c>
      <c r="D1721" t="s">
        <v>696</v>
      </c>
      <c r="E1721" t="s">
        <v>149</v>
      </c>
      <c r="G1721">
        <v>0</v>
      </c>
    </row>
    <row r="1722" spans="2:7" x14ac:dyDescent="0.25">
      <c r="B1722" t="s">
        <v>149</v>
      </c>
      <c r="D1722" t="s">
        <v>696</v>
      </c>
      <c r="E1722" t="s">
        <v>149</v>
      </c>
      <c r="G1722">
        <v>0</v>
      </c>
    </row>
    <row r="1723" spans="2:7" x14ac:dyDescent="0.25">
      <c r="B1723" t="s">
        <v>149</v>
      </c>
      <c r="D1723" t="s">
        <v>696</v>
      </c>
      <c r="E1723" t="s">
        <v>149</v>
      </c>
      <c r="G1723">
        <v>0</v>
      </c>
    </row>
    <row r="1724" spans="2:7" x14ac:dyDescent="0.25">
      <c r="B1724" t="s">
        <v>149</v>
      </c>
      <c r="D1724" t="s">
        <v>696</v>
      </c>
      <c r="E1724" t="s">
        <v>149</v>
      </c>
      <c r="G1724">
        <v>0</v>
      </c>
    </row>
    <row r="1725" spans="2:7" x14ac:dyDescent="0.25">
      <c r="B1725" t="s">
        <v>149</v>
      </c>
      <c r="D1725" t="s">
        <v>696</v>
      </c>
      <c r="E1725" t="s">
        <v>149</v>
      </c>
      <c r="G1725">
        <v>0</v>
      </c>
    </row>
    <row r="1726" spans="2:7" x14ac:dyDescent="0.25">
      <c r="B1726" t="s">
        <v>149</v>
      </c>
      <c r="D1726" t="s">
        <v>696</v>
      </c>
      <c r="E1726" t="s">
        <v>149</v>
      </c>
      <c r="G1726">
        <v>0</v>
      </c>
    </row>
    <row r="1727" spans="2:7" x14ac:dyDescent="0.25">
      <c r="B1727" t="s">
        <v>149</v>
      </c>
      <c r="D1727" t="s">
        <v>696</v>
      </c>
      <c r="E1727" t="s">
        <v>149</v>
      </c>
      <c r="G1727">
        <v>0</v>
      </c>
    </row>
    <row r="1728" spans="2:7" x14ac:dyDescent="0.25">
      <c r="B1728" t="s">
        <v>149</v>
      </c>
      <c r="D1728" t="s">
        <v>696</v>
      </c>
      <c r="E1728" t="s">
        <v>149</v>
      </c>
      <c r="G1728">
        <v>0</v>
      </c>
    </row>
    <row r="1729" spans="2:7" x14ac:dyDescent="0.25">
      <c r="B1729" t="s">
        <v>149</v>
      </c>
      <c r="D1729" t="s">
        <v>696</v>
      </c>
      <c r="E1729" t="s">
        <v>149</v>
      </c>
      <c r="G1729">
        <v>0</v>
      </c>
    </row>
    <row r="1730" spans="2:7" x14ac:dyDescent="0.25">
      <c r="B1730" t="s">
        <v>149</v>
      </c>
      <c r="D1730" t="s">
        <v>696</v>
      </c>
      <c r="E1730" t="s">
        <v>149</v>
      </c>
      <c r="G1730">
        <v>0</v>
      </c>
    </row>
    <row r="1731" spans="2:7" x14ac:dyDescent="0.25">
      <c r="B1731" t="s">
        <v>149</v>
      </c>
      <c r="D1731" t="s">
        <v>696</v>
      </c>
      <c r="E1731" t="s">
        <v>149</v>
      </c>
      <c r="G1731">
        <v>0</v>
      </c>
    </row>
    <row r="1732" spans="2:7" x14ac:dyDescent="0.25">
      <c r="B1732" t="s">
        <v>149</v>
      </c>
      <c r="D1732" t="s">
        <v>696</v>
      </c>
      <c r="E1732" t="s">
        <v>149</v>
      </c>
      <c r="G1732">
        <v>0</v>
      </c>
    </row>
    <row r="1733" spans="2:7" x14ac:dyDescent="0.25">
      <c r="B1733" t="s">
        <v>149</v>
      </c>
      <c r="D1733" t="s">
        <v>696</v>
      </c>
      <c r="E1733" t="s">
        <v>149</v>
      </c>
      <c r="G1733">
        <v>0</v>
      </c>
    </row>
    <row r="1734" spans="2:7" x14ac:dyDescent="0.25">
      <c r="B1734" t="s">
        <v>149</v>
      </c>
      <c r="D1734" t="s">
        <v>696</v>
      </c>
      <c r="E1734" t="s">
        <v>149</v>
      </c>
      <c r="G1734">
        <v>0</v>
      </c>
    </row>
    <row r="1735" spans="2:7" x14ac:dyDescent="0.25">
      <c r="B1735" t="s">
        <v>149</v>
      </c>
      <c r="D1735" t="s">
        <v>696</v>
      </c>
      <c r="E1735" t="s">
        <v>149</v>
      </c>
      <c r="G1735">
        <v>0</v>
      </c>
    </row>
    <row r="1736" spans="2:7" x14ac:dyDescent="0.25">
      <c r="B1736" t="s">
        <v>149</v>
      </c>
      <c r="D1736" t="s">
        <v>696</v>
      </c>
      <c r="E1736" t="s">
        <v>149</v>
      </c>
      <c r="G1736">
        <v>0</v>
      </c>
    </row>
    <row r="1737" spans="2:7" x14ac:dyDescent="0.25">
      <c r="B1737" t="s">
        <v>149</v>
      </c>
      <c r="D1737" t="s">
        <v>696</v>
      </c>
      <c r="E1737" t="s">
        <v>149</v>
      </c>
      <c r="G1737">
        <v>0</v>
      </c>
    </row>
    <row r="1738" spans="2:7" x14ac:dyDescent="0.25">
      <c r="B1738" t="s">
        <v>149</v>
      </c>
      <c r="D1738" t="s">
        <v>696</v>
      </c>
      <c r="E1738" t="s">
        <v>149</v>
      </c>
      <c r="G1738">
        <v>0</v>
      </c>
    </row>
    <row r="1739" spans="2:7" x14ac:dyDescent="0.25">
      <c r="B1739" t="s">
        <v>149</v>
      </c>
      <c r="D1739" t="s">
        <v>696</v>
      </c>
      <c r="E1739" t="s">
        <v>149</v>
      </c>
      <c r="G1739">
        <v>0</v>
      </c>
    </row>
    <row r="1740" spans="2:7" x14ac:dyDescent="0.25">
      <c r="B1740" t="s">
        <v>149</v>
      </c>
      <c r="D1740" t="s">
        <v>696</v>
      </c>
      <c r="E1740" t="s">
        <v>149</v>
      </c>
      <c r="G1740">
        <v>0</v>
      </c>
    </row>
    <row r="1741" spans="2:7" x14ac:dyDescent="0.25">
      <c r="B1741" t="s">
        <v>149</v>
      </c>
      <c r="D1741" t="s">
        <v>696</v>
      </c>
      <c r="E1741" t="s">
        <v>149</v>
      </c>
      <c r="G1741">
        <v>0</v>
      </c>
    </row>
    <row r="1742" spans="2:7" x14ac:dyDescent="0.25">
      <c r="B1742" t="s">
        <v>149</v>
      </c>
      <c r="D1742" t="s">
        <v>696</v>
      </c>
      <c r="E1742" t="s">
        <v>149</v>
      </c>
      <c r="G1742">
        <v>0</v>
      </c>
    </row>
    <row r="1743" spans="2:7" x14ac:dyDescent="0.25">
      <c r="B1743" t="s">
        <v>149</v>
      </c>
      <c r="D1743" t="s">
        <v>696</v>
      </c>
      <c r="E1743" t="s">
        <v>149</v>
      </c>
      <c r="G1743">
        <v>0</v>
      </c>
    </row>
    <row r="1744" spans="2:7" x14ac:dyDescent="0.25">
      <c r="B1744" t="s">
        <v>149</v>
      </c>
      <c r="D1744" t="s">
        <v>696</v>
      </c>
      <c r="E1744" t="s">
        <v>149</v>
      </c>
      <c r="G1744">
        <v>0</v>
      </c>
    </row>
    <row r="1745" spans="2:7" x14ac:dyDescent="0.25">
      <c r="B1745" t="s">
        <v>149</v>
      </c>
      <c r="D1745" t="s">
        <v>696</v>
      </c>
      <c r="E1745" t="s">
        <v>149</v>
      </c>
      <c r="G1745">
        <v>0</v>
      </c>
    </row>
    <row r="1746" spans="2:7" x14ac:dyDescent="0.25">
      <c r="B1746" t="s">
        <v>149</v>
      </c>
      <c r="D1746" t="s">
        <v>696</v>
      </c>
      <c r="E1746" t="s">
        <v>149</v>
      </c>
      <c r="G1746">
        <v>0</v>
      </c>
    </row>
    <row r="1747" spans="2:7" x14ac:dyDescent="0.25">
      <c r="B1747" t="s">
        <v>149</v>
      </c>
      <c r="D1747" t="s">
        <v>696</v>
      </c>
      <c r="E1747" t="s">
        <v>149</v>
      </c>
      <c r="G1747">
        <v>0</v>
      </c>
    </row>
    <row r="1748" spans="2:7" x14ac:dyDescent="0.25">
      <c r="B1748" t="s">
        <v>149</v>
      </c>
      <c r="D1748" t="s">
        <v>696</v>
      </c>
      <c r="E1748" t="s">
        <v>149</v>
      </c>
      <c r="G1748">
        <v>0</v>
      </c>
    </row>
    <row r="1749" spans="2:7" x14ac:dyDescent="0.25">
      <c r="B1749" t="s">
        <v>149</v>
      </c>
      <c r="D1749" t="s">
        <v>696</v>
      </c>
      <c r="E1749" t="s">
        <v>149</v>
      </c>
      <c r="G1749">
        <v>0</v>
      </c>
    </row>
    <row r="1750" spans="2:7" x14ac:dyDescent="0.25">
      <c r="B1750" t="s">
        <v>149</v>
      </c>
      <c r="D1750" t="s">
        <v>696</v>
      </c>
      <c r="E1750" t="s">
        <v>149</v>
      </c>
      <c r="G1750">
        <v>0</v>
      </c>
    </row>
    <row r="1751" spans="2:7" x14ac:dyDescent="0.25">
      <c r="B1751" t="s">
        <v>149</v>
      </c>
      <c r="D1751" t="s">
        <v>696</v>
      </c>
      <c r="E1751" t="s">
        <v>149</v>
      </c>
      <c r="G1751">
        <v>0</v>
      </c>
    </row>
    <row r="1752" spans="2:7" x14ac:dyDescent="0.25">
      <c r="B1752" t="s">
        <v>149</v>
      </c>
      <c r="D1752" t="s">
        <v>696</v>
      </c>
      <c r="E1752" t="s">
        <v>149</v>
      </c>
      <c r="G1752">
        <v>0</v>
      </c>
    </row>
    <row r="1753" spans="2:7" x14ac:dyDescent="0.25">
      <c r="B1753" t="s">
        <v>149</v>
      </c>
      <c r="D1753" t="s">
        <v>696</v>
      </c>
      <c r="E1753" t="s">
        <v>149</v>
      </c>
      <c r="G1753">
        <v>0</v>
      </c>
    </row>
    <row r="1754" spans="2:7" x14ac:dyDescent="0.25">
      <c r="B1754" t="s">
        <v>149</v>
      </c>
      <c r="D1754" t="s">
        <v>696</v>
      </c>
      <c r="E1754" t="s">
        <v>149</v>
      </c>
      <c r="G1754">
        <v>0</v>
      </c>
    </row>
    <row r="1755" spans="2:7" x14ac:dyDescent="0.25">
      <c r="B1755" t="s">
        <v>149</v>
      </c>
      <c r="D1755" t="s">
        <v>696</v>
      </c>
      <c r="E1755" t="s">
        <v>149</v>
      </c>
      <c r="G1755">
        <v>0</v>
      </c>
    </row>
    <row r="1756" spans="2:7" x14ac:dyDescent="0.25">
      <c r="B1756" t="s">
        <v>149</v>
      </c>
      <c r="D1756" t="s">
        <v>696</v>
      </c>
      <c r="E1756" t="s">
        <v>149</v>
      </c>
      <c r="G1756">
        <v>0</v>
      </c>
    </row>
    <row r="1757" spans="2:7" x14ac:dyDescent="0.25">
      <c r="B1757" t="s">
        <v>149</v>
      </c>
      <c r="D1757" t="s">
        <v>696</v>
      </c>
      <c r="E1757" t="s">
        <v>149</v>
      </c>
      <c r="G1757">
        <v>0</v>
      </c>
    </row>
    <row r="1758" spans="2:7" x14ac:dyDescent="0.25">
      <c r="B1758" t="s">
        <v>149</v>
      </c>
      <c r="D1758" t="s">
        <v>696</v>
      </c>
      <c r="E1758" t="s">
        <v>149</v>
      </c>
      <c r="G1758">
        <v>0</v>
      </c>
    </row>
    <row r="1759" spans="2:7" x14ac:dyDescent="0.25">
      <c r="B1759" t="s">
        <v>149</v>
      </c>
      <c r="D1759" t="s">
        <v>696</v>
      </c>
      <c r="E1759" t="s">
        <v>149</v>
      </c>
      <c r="G1759">
        <v>0</v>
      </c>
    </row>
    <row r="1760" spans="2:7" x14ac:dyDescent="0.25">
      <c r="B1760" t="s">
        <v>149</v>
      </c>
      <c r="D1760" t="s">
        <v>696</v>
      </c>
      <c r="E1760" t="s">
        <v>149</v>
      </c>
      <c r="G1760">
        <v>0</v>
      </c>
    </row>
    <row r="1761" spans="2:7" x14ac:dyDescent="0.25">
      <c r="B1761" t="s">
        <v>149</v>
      </c>
      <c r="D1761" t="s">
        <v>696</v>
      </c>
      <c r="E1761" t="s">
        <v>149</v>
      </c>
      <c r="G1761">
        <v>0</v>
      </c>
    </row>
    <row r="1762" spans="2:7" x14ac:dyDescent="0.25">
      <c r="B1762" t="s">
        <v>149</v>
      </c>
      <c r="D1762" t="s">
        <v>696</v>
      </c>
      <c r="E1762" t="s">
        <v>149</v>
      </c>
      <c r="G1762">
        <v>0</v>
      </c>
    </row>
    <row r="1763" spans="2:7" x14ac:dyDescent="0.25">
      <c r="B1763" t="s">
        <v>149</v>
      </c>
      <c r="D1763" t="s">
        <v>696</v>
      </c>
      <c r="E1763" t="s">
        <v>149</v>
      </c>
      <c r="G1763">
        <v>0</v>
      </c>
    </row>
    <row r="1764" spans="2:7" x14ac:dyDescent="0.25">
      <c r="B1764" t="s">
        <v>149</v>
      </c>
      <c r="D1764" t="s">
        <v>696</v>
      </c>
      <c r="E1764" t="s">
        <v>149</v>
      </c>
      <c r="G1764">
        <v>0</v>
      </c>
    </row>
    <row r="1765" spans="2:7" x14ac:dyDescent="0.25">
      <c r="B1765" t="s">
        <v>149</v>
      </c>
      <c r="D1765" t="s">
        <v>696</v>
      </c>
      <c r="E1765" t="s">
        <v>149</v>
      </c>
      <c r="G1765">
        <v>0</v>
      </c>
    </row>
    <row r="1766" spans="2:7" x14ac:dyDescent="0.25">
      <c r="B1766" t="s">
        <v>149</v>
      </c>
      <c r="D1766" t="s">
        <v>696</v>
      </c>
      <c r="E1766" t="s">
        <v>149</v>
      </c>
      <c r="G1766">
        <v>0</v>
      </c>
    </row>
    <row r="1767" spans="2:7" x14ac:dyDescent="0.25">
      <c r="B1767" t="s">
        <v>149</v>
      </c>
      <c r="D1767" t="s">
        <v>696</v>
      </c>
      <c r="E1767" t="s">
        <v>149</v>
      </c>
      <c r="G1767">
        <v>0</v>
      </c>
    </row>
    <row r="1768" spans="2:7" x14ac:dyDescent="0.25">
      <c r="B1768" t="s">
        <v>149</v>
      </c>
      <c r="D1768" t="s">
        <v>696</v>
      </c>
      <c r="E1768" t="s">
        <v>149</v>
      </c>
      <c r="G1768">
        <v>0</v>
      </c>
    </row>
    <row r="1769" spans="2:7" x14ac:dyDescent="0.25">
      <c r="B1769" t="s">
        <v>149</v>
      </c>
      <c r="D1769" t="s">
        <v>696</v>
      </c>
      <c r="E1769" t="s">
        <v>149</v>
      </c>
      <c r="G1769">
        <v>0</v>
      </c>
    </row>
    <row r="1770" spans="2:7" x14ac:dyDescent="0.25">
      <c r="B1770" t="s">
        <v>149</v>
      </c>
      <c r="D1770" t="s">
        <v>696</v>
      </c>
      <c r="E1770" t="s">
        <v>149</v>
      </c>
      <c r="G1770">
        <v>0</v>
      </c>
    </row>
    <row r="1771" spans="2:7" x14ac:dyDescent="0.25">
      <c r="B1771" t="s">
        <v>149</v>
      </c>
      <c r="D1771" t="s">
        <v>696</v>
      </c>
      <c r="E1771" t="s">
        <v>149</v>
      </c>
      <c r="G1771">
        <v>0</v>
      </c>
    </row>
    <row r="1772" spans="2:7" x14ac:dyDescent="0.25">
      <c r="B1772" t="s">
        <v>149</v>
      </c>
      <c r="D1772" t="s">
        <v>696</v>
      </c>
      <c r="E1772" t="s">
        <v>149</v>
      </c>
      <c r="G1772">
        <v>0</v>
      </c>
    </row>
    <row r="1773" spans="2:7" x14ac:dyDescent="0.25">
      <c r="B1773" t="s">
        <v>149</v>
      </c>
      <c r="D1773" t="s">
        <v>696</v>
      </c>
      <c r="E1773" t="s">
        <v>149</v>
      </c>
      <c r="G1773">
        <v>0</v>
      </c>
    </row>
    <row r="1774" spans="2:7" x14ac:dyDescent="0.25">
      <c r="B1774" t="s">
        <v>149</v>
      </c>
      <c r="D1774" t="s">
        <v>696</v>
      </c>
      <c r="E1774" t="s">
        <v>149</v>
      </c>
      <c r="G1774">
        <v>0</v>
      </c>
    </row>
    <row r="1775" spans="2:7" x14ac:dyDescent="0.25">
      <c r="B1775" t="s">
        <v>149</v>
      </c>
      <c r="D1775" t="s">
        <v>696</v>
      </c>
      <c r="E1775" t="s">
        <v>149</v>
      </c>
      <c r="G1775">
        <v>0</v>
      </c>
    </row>
    <row r="1776" spans="2:7" x14ac:dyDescent="0.25">
      <c r="B1776" t="s">
        <v>149</v>
      </c>
      <c r="D1776" t="s">
        <v>696</v>
      </c>
      <c r="E1776" t="s">
        <v>149</v>
      </c>
      <c r="G1776">
        <v>0</v>
      </c>
    </row>
    <row r="1777" spans="2:7" x14ac:dyDescent="0.25">
      <c r="B1777" t="s">
        <v>149</v>
      </c>
      <c r="D1777" t="s">
        <v>696</v>
      </c>
      <c r="E1777" t="s">
        <v>149</v>
      </c>
      <c r="G1777">
        <v>0</v>
      </c>
    </row>
    <row r="1778" spans="2:7" x14ac:dyDescent="0.25">
      <c r="B1778" t="s">
        <v>149</v>
      </c>
      <c r="D1778" t="s">
        <v>696</v>
      </c>
      <c r="E1778" t="s">
        <v>149</v>
      </c>
      <c r="G1778">
        <v>0</v>
      </c>
    </row>
    <row r="1779" spans="2:7" x14ac:dyDescent="0.25">
      <c r="B1779" t="s">
        <v>149</v>
      </c>
      <c r="D1779" t="s">
        <v>696</v>
      </c>
      <c r="E1779" t="s">
        <v>149</v>
      </c>
      <c r="G1779">
        <v>0</v>
      </c>
    </row>
    <row r="1780" spans="2:7" x14ac:dyDescent="0.25">
      <c r="B1780" t="s">
        <v>149</v>
      </c>
      <c r="D1780" t="s">
        <v>696</v>
      </c>
      <c r="E1780" t="s">
        <v>149</v>
      </c>
      <c r="G1780">
        <v>0</v>
      </c>
    </row>
    <row r="1781" spans="2:7" x14ac:dyDescent="0.25">
      <c r="B1781" t="s">
        <v>149</v>
      </c>
      <c r="D1781" t="s">
        <v>696</v>
      </c>
      <c r="E1781" t="s">
        <v>149</v>
      </c>
      <c r="G1781">
        <v>0</v>
      </c>
    </row>
    <row r="1782" spans="2:7" x14ac:dyDescent="0.25">
      <c r="B1782" t="s">
        <v>149</v>
      </c>
      <c r="D1782" t="s">
        <v>696</v>
      </c>
      <c r="E1782" t="s">
        <v>149</v>
      </c>
      <c r="G1782">
        <v>0</v>
      </c>
    </row>
    <row r="1783" spans="2:7" x14ac:dyDescent="0.25">
      <c r="B1783" t="s">
        <v>149</v>
      </c>
      <c r="D1783" t="s">
        <v>696</v>
      </c>
      <c r="E1783" t="s">
        <v>149</v>
      </c>
      <c r="G1783">
        <v>0</v>
      </c>
    </row>
    <row r="1784" spans="2:7" x14ac:dyDescent="0.25">
      <c r="B1784" t="s">
        <v>149</v>
      </c>
      <c r="D1784" t="s">
        <v>696</v>
      </c>
      <c r="E1784" t="s">
        <v>149</v>
      </c>
      <c r="G1784">
        <v>0</v>
      </c>
    </row>
    <row r="1785" spans="2:7" x14ac:dyDescent="0.25">
      <c r="B1785" t="s">
        <v>149</v>
      </c>
      <c r="D1785" t="s">
        <v>696</v>
      </c>
      <c r="E1785" t="s">
        <v>149</v>
      </c>
      <c r="G1785">
        <v>0</v>
      </c>
    </row>
    <row r="1786" spans="2:7" x14ac:dyDescent="0.25">
      <c r="B1786" t="s">
        <v>149</v>
      </c>
      <c r="D1786" t="s">
        <v>696</v>
      </c>
      <c r="E1786" t="s">
        <v>149</v>
      </c>
      <c r="G1786">
        <v>0</v>
      </c>
    </row>
    <row r="1787" spans="2:7" x14ac:dyDescent="0.25">
      <c r="B1787" t="s">
        <v>149</v>
      </c>
      <c r="D1787" t="s">
        <v>696</v>
      </c>
      <c r="E1787" t="s">
        <v>149</v>
      </c>
      <c r="G1787">
        <v>0</v>
      </c>
    </row>
    <row r="1788" spans="2:7" x14ac:dyDescent="0.25">
      <c r="B1788" t="s">
        <v>149</v>
      </c>
      <c r="D1788" t="s">
        <v>696</v>
      </c>
      <c r="E1788" t="s">
        <v>149</v>
      </c>
      <c r="G1788">
        <v>0</v>
      </c>
    </row>
    <row r="1789" spans="2:7" x14ac:dyDescent="0.25">
      <c r="B1789" t="s">
        <v>149</v>
      </c>
      <c r="D1789" t="s">
        <v>696</v>
      </c>
      <c r="E1789" t="s">
        <v>149</v>
      </c>
      <c r="G1789">
        <v>0</v>
      </c>
    </row>
    <row r="1790" spans="2:7" x14ac:dyDescent="0.25">
      <c r="B1790" t="s">
        <v>149</v>
      </c>
      <c r="D1790" t="s">
        <v>696</v>
      </c>
      <c r="E1790" t="s">
        <v>149</v>
      </c>
      <c r="G1790">
        <v>0</v>
      </c>
    </row>
    <row r="1791" spans="2:7" x14ac:dyDescent="0.25">
      <c r="B1791" t="s">
        <v>149</v>
      </c>
      <c r="D1791" t="s">
        <v>696</v>
      </c>
      <c r="E1791" t="s">
        <v>149</v>
      </c>
      <c r="G1791">
        <v>0</v>
      </c>
    </row>
    <row r="1792" spans="2:7" x14ac:dyDescent="0.25">
      <c r="B1792" t="s">
        <v>149</v>
      </c>
      <c r="D1792" t="s">
        <v>696</v>
      </c>
      <c r="E1792" t="s">
        <v>149</v>
      </c>
      <c r="G1792">
        <v>0</v>
      </c>
    </row>
    <row r="1793" spans="2:7" x14ac:dyDescent="0.25">
      <c r="B1793" t="s">
        <v>149</v>
      </c>
      <c r="D1793" t="s">
        <v>696</v>
      </c>
      <c r="E1793" t="s">
        <v>149</v>
      </c>
      <c r="G1793">
        <v>0</v>
      </c>
    </row>
    <row r="1794" spans="2:7" x14ac:dyDescent="0.25">
      <c r="B1794" t="s">
        <v>149</v>
      </c>
      <c r="D1794" t="s">
        <v>696</v>
      </c>
      <c r="E1794" t="s">
        <v>149</v>
      </c>
      <c r="G1794">
        <v>0</v>
      </c>
    </row>
    <row r="1795" spans="2:7" x14ac:dyDescent="0.25">
      <c r="B1795" t="s">
        <v>149</v>
      </c>
      <c r="D1795" t="s">
        <v>696</v>
      </c>
      <c r="E1795" t="s">
        <v>149</v>
      </c>
      <c r="G1795">
        <v>0</v>
      </c>
    </row>
    <row r="1796" spans="2:7" x14ac:dyDescent="0.25">
      <c r="B1796" t="s">
        <v>149</v>
      </c>
      <c r="D1796" t="s">
        <v>696</v>
      </c>
      <c r="E1796" t="s">
        <v>149</v>
      </c>
      <c r="G1796">
        <v>0</v>
      </c>
    </row>
    <row r="1797" spans="2:7" x14ac:dyDescent="0.25">
      <c r="B1797" t="s">
        <v>149</v>
      </c>
      <c r="D1797" t="s">
        <v>696</v>
      </c>
      <c r="E1797" t="s">
        <v>149</v>
      </c>
      <c r="G1797">
        <v>0</v>
      </c>
    </row>
    <row r="1798" spans="2:7" x14ac:dyDescent="0.25">
      <c r="B1798" t="s">
        <v>149</v>
      </c>
      <c r="D1798" t="s">
        <v>696</v>
      </c>
      <c r="E1798" t="s">
        <v>149</v>
      </c>
      <c r="G1798">
        <v>0</v>
      </c>
    </row>
    <row r="1799" spans="2:7" x14ac:dyDescent="0.25">
      <c r="B1799" t="s">
        <v>149</v>
      </c>
      <c r="D1799" t="s">
        <v>696</v>
      </c>
      <c r="E1799" t="s">
        <v>149</v>
      </c>
      <c r="G1799">
        <v>0</v>
      </c>
    </row>
    <row r="1800" spans="2:7" x14ac:dyDescent="0.25">
      <c r="B1800" t="s">
        <v>149</v>
      </c>
      <c r="D1800" t="s">
        <v>696</v>
      </c>
      <c r="E1800" t="s">
        <v>149</v>
      </c>
      <c r="G1800">
        <v>0</v>
      </c>
    </row>
    <row r="1801" spans="2:7" x14ac:dyDescent="0.25">
      <c r="B1801" t="s">
        <v>149</v>
      </c>
      <c r="D1801" t="s">
        <v>696</v>
      </c>
      <c r="E1801" t="s">
        <v>149</v>
      </c>
      <c r="G1801">
        <v>0</v>
      </c>
    </row>
    <row r="1802" spans="2:7" x14ac:dyDescent="0.25">
      <c r="B1802" t="s">
        <v>149</v>
      </c>
      <c r="D1802" t="s">
        <v>696</v>
      </c>
      <c r="E1802" t="s">
        <v>149</v>
      </c>
      <c r="G1802">
        <v>0</v>
      </c>
    </row>
    <row r="1803" spans="2:7" x14ac:dyDescent="0.25">
      <c r="B1803" t="s">
        <v>149</v>
      </c>
      <c r="D1803" t="s">
        <v>696</v>
      </c>
      <c r="E1803" t="s">
        <v>149</v>
      </c>
      <c r="G1803">
        <v>0</v>
      </c>
    </row>
    <row r="1804" spans="2:7" x14ac:dyDescent="0.25">
      <c r="B1804" t="s">
        <v>149</v>
      </c>
      <c r="D1804" t="s">
        <v>696</v>
      </c>
      <c r="E1804" t="s">
        <v>149</v>
      </c>
      <c r="G1804">
        <v>0</v>
      </c>
    </row>
    <row r="1805" spans="2:7" x14ac:dyDescent="0.25">
      <c r="B1805" t="s">
        <v>149</v>
      </c>
      <c r="D1805" t="s">
        <v>696</v>
      </c>
      <c r="E1805" t="s">
        <v>149</v>
      </c>
      <c r="G1805">
        <v>0</v>
      </c>
    </row>
    <row r="1806" spans="2:7" x14ac:dyDescent="0.25">
      <c r="B1806" t="s">
        <v>149</v>
      </c>
      <c r="D1806" t="s">
        <v>696</v>
      </c>
      <c r="E1806" t="s">
        <v>149</v>
      </c>
      <c r="G1806">
        <v>0</v>
      </c>
    </row>
    <row r="1807" spans="2:7" x14ac:dyDescent="0.25">
      <c r="B1807" t="s">
        <v>149</v>
      </c>
      <c r="D1807" t="s">
        <v>696</v>
      </c>
      <c r="E1807" t="s">
        <v>149</v>
      </c>
      <c r="G1807">
        <v>0</v>
      </c>
    </row>
    <row r="1808" spans="2:7" x14ac:dyDescent="0.25">
      <c r="B1808" t="s">
        <v>149</v>
      </c>
      <c r="D1808" t="s">
        <v>696</v>
      </c>
      <c r="E1808" t="s">
        <v>149</v>
      </c>
      <c r="G1808">
        <v>0</v>
      </c>
    </row>
    <row r="1809" spans="2:7" x14ac:dyDescent="0.25">
      <c r="B1809" t="s">
        <v>149</v>
      </c>
      <c r="D1809" t="s">
        <v>696</v>
      </c>
      <c r="E1809" t="s">
        <v>149</v>
      </c>
      <c r="G1809">
        <v>0</v>
      </c>
    </row>
    <row r="1810" spans="2:7" x14ac:dyDescent="0.25">
      <c r="B1810" t="s">
        <v>149</v>
      </c>
      <c r="D1810" t="s">
        <v>696</v>
      </c>
      <c r="E1810" t="s">
        <v>149</v>
      </c>
      <c r="G1810">
        <v>0</v>
      </c>
    </row>
    <row r="1811" spans="2:7" x14ac:dyDescent="0.25">
      <c r="B1811" t="s">
        <v>149</v>
      </c>
      <c r="D1811" t="s">
        <v>696</v>
      </c>
      <c r="E1811" t="s">
        <v>149</v>
      </c>
      <c r="G1811">
        <v>0</v>
      </c>
    </row>
    <row r="1812" spans="2:7" x14ac:dyDescent="0.25">
      <c r="B1812" t="s">
        <v>149</v>
      </c>
      <c r="D1812" t="s">
        <v>696</v>
      </c>
      <c r="E1812" t="s">
        <v>149</v>
      </c>
      <c r="G1812">
        <v>0</v>
      </c>
    </row>
    <row r="1813" spans="2:7" x14ac:dyDescent="0.25">
      <c r="B1813" t="s">
        <v>149</v>
      </c>
      <c r="D1813" t="s">
        <v>696</v>
      </c>
      <c r="E1813" t="s">
        <v>149</v>
      </c>
      <c r="G1813">
        <v>0</v>
      </c>
    </row>
    <row r="1814" spans="2:7" x14ac:dyDescent="0.25">
      <c r="B1814" t="s">
        <v>149</v>
      </c>
      <c r="D1814" t="s">
        <v>696</v>
      </c>
      <c r="E1814" t="s">
        <v>149</v>
      </c>
      <c r="G1814">
        <v>0</v>
      </c>
    </row>
    <row r="1815" spans="2:7" x14ac:dyDescent="0.25">
      <c r="B1815" t="s">
        <v>149</v>
      </c>
      <c r="D1815" t="s">
        <v>696</v>
      </c>
      <c r="E1815" t="s">
        <v>149</v>
      </c>
      <c r="G1815">
        <v>0</v>
      </c>
    </row>
    <row r="1816" spans="2:7" x14ac:dyDescent="0.25">
      <c r="B1816" t="s">
        <v>149</v>
      </c>
      <c r="D1816" t="s">
        <v>696</v>
      </c>
      <c r="E1816" t="s">
        <v>149</v>
      </c>
      <c r="G1816">
        <v>0</v>
      </c>
    </row>
    <row r="1817" spans="2:7" x14ac:dyDescent="0.25">
      <c r="B1817" t="s">
        <v>149</v>
      </c>
      <c r="D1817" t="s">
        <v>696</v>
      </c>
      <c r="E1817" t="s">
        <v>149</v>
      </c>
      <c r="G1817">
        <v>0</v>
      </c>
    </row>
    <row r="1818" spans="2:7" x14ac:dyDescent="0.25">
      <c r="B1818" t="s">
        <v>149</v>
      </c>
      <c r="D1818" t="s">
        <v>696</v>
      </c>
      <c r="E1818" t="s">
        <v>149</v>
      </c>
      <c r="G1818">
        <v>0</v>
      </c>
    </row>
    <row r="1819" spans="2:7" x14ac:dyDescent="0.25">
      <c r="B1819" t="s">
        <v>149</v>
      </c>
      <c r="D1819" t="s">
        <v>696</v>
      </c>
      <c r="E1819" t="s">
        <v>149</v>
      </c>
      <c r="G1819">
        <v>0</v>
      </c>
    </row>
    <row r="1820" spans="2:7" x14ac:dyDescent="0.25">
      <c r="B1820" t="s">
        <v>149</v>
      </c>
      <c r="D1820" t="s">
        <v>696</v>
      </c>
      <c r="E1820" t="s">
        <v>149</v>
      </c>
      <c r="G1820">
        <v>0</v>
      </c>
    </row>
    <row r="1821" spans="2:7" x14ac:dyDescent="0.25">
      <c r="B1821" t="s">
        <v>149</v>
      </c>
      <c r="D1821" t="s">
        <v>696</v>
      </c>
      <c r="E1821" t="s">
        <v>149</v>
      </c>
      <c r="G1821">
        <v>0</v>
      </c>
    </row>
    <row r="1822" spans="2:7" x14ac:dyDescent="0.25">
      <c r="B1822" t="s">
        <v>149</v>
      </c>
      <c r="D1822" t="s">
        <v>696</v>
      </c>
      <c r="E1822" t="s">
        <v>149</v>
      </c>
      <c r="G1822">
        <v>0</v>
      </c>
    </row>
    <row r="1823" spans="2:7" x14ac:dyDescent="0.25">
      <c r="B1823" t="s">
        <v>149</v>
      </c>
      <c r="D1823" t="s">
        <v>696</v>
      </c>
      <c r="E1823" t="s">
        <v>149</v>
      </c>
      <c r="G1823">
        <v>0</v>
      </c>
    </row>
    <row r="1824" spans="2:7" x14ac:dyDescent="0.25">
      <c r="B1824" t="s">
        <v>149</v>
      </c>
      <c r="D1824" t="s">
        <v>696</v>
      </c>
      <c r="E1824" t="s">
        <v>149</v>
      </c>
      <c r="G1824">
        <v>0</v>
      </c>
    </row>
    <row r="1825" spans="2:7" x14ac:dyDescent="0.25">
      <c r="B1825" t="s">
        <v>149</v>
      </c>
      <c r="D1825" t="s">
        <v>696</v>
      </c>
      <c r="E1825" t="s">
        <v>149</v>
      </c>
      <c r="G1825">
        <v>0</v>
      </c>
    </row>
    <row r="1826" spans="2:7" x14ac:dyDescent="0.25">
      <c r="B1826" t="s">
        <v>149</v>
      </c>
      <c r="D1826" t="s">
        <v>696</v>
      </c>
      <c r="E1826" t="s">
        <v>149</v>
      </c>
      <c r="G1826">
        <v>0</v>
      </c>
    </row>
    <row r="1827" spans="2:7" x14ac:dyDescent="0.25">
      <c r="B1827" t="s">
        <v>149</v>
      </c>
      <c r="D1827" t="s">
        <v>696</v>
      </c>
      <c r="E1827" t="s">
        <v>149</v>
      </c>
      <c r="G1827">
        <v>0</v>
      </c>
    </row>
    <row r="1828" spans="2:7" x14ac:dyDescent="0.25">
      <c r="B1828" t="s">
        <v>149</v>
      </c>
      <c r="D1828" t="s">
        <v>696</v>
      </c>
      <c r="E1828" t="s">
        <v>149</v>
      </c>
      <c r="G1828">
        <v>0</v>
      </c>
    </row>
    <row r="1829" spans="2:7" x14ac:dyDescent="0.25">
      <c r="B1829" t="s">
        <v>149</v>
      </c>
      <c r="D1829" t="s">
        <v>696</v>
      </c>
      <c r="E1829" t="s">
        <v>149</v>
      </c>
      <c r="G1829">
        <v>0</v>
      </c>
    </row>
    <row r="1830" spans="2:7" x14ac:dyDescent="0.25">
      <c r="B1830" t="s">
        <v>149</v>
      </c>
      <c r="D1830" t="s">
        <v>696</v>
      </c>
      <c r="E1830" t="s">
        <v>149</v>
      </c>
      <c r="G1830">
        <v>0</v>
      </c>
    </row>
    <row r="1831" spans="2:7" x14ac:dyDescent="0.25">
      <c r="B1831" t="s">
        <v>149</v>
      </c>
      <c r="D1831" t="s">
        <v>696</v>
      </c>
      <c r="E1831" t="s">
        <v>149</v>
      </c>
      <c r="G1831">
        <v>0</v>
      </c>
    </row>
    <row r="1832" spans="2:7" x14ac:dyDescent="0.25">
      <c r="B1832" t="s">
        <v>149</v>
      </c>
      <c r="D1832" t="s">
        <v>696</v>
      </c>
      <c r="E1832" t="s">
        <v>149</v>
      </c>
      <c r="G1832">
        <v>0</v>
      </c>
    </row>
    <row r="1833" spans="2:7" x14ac:dyDescent="0.25">
      <c r="B1833" t="s">
        <v>149</v>
      </c>
      <c r="D1833" t="s">
        <v>696</v>
      </c>
      <c r="E1833" t="s">
        <v>149</v>
      </c>
      <c r="G1833">
        <v>0</v>
      </c>
    </row>
    <row r="1834" spans="2:7" x14ac:dyDescent="0.25">
      <c r="B1834" t="s">
        <v>149</v>
      </c>
      <c r="D1834" t="s">
        <v>696</v>
      </c>
      <c r="E1834" t="s">
        <v>149</v>
      </c>
      <c r="G1834">
        <v>0</v>
      </c>
    </row>
    <row r="1835" spans="2:7" x14ac:dyDescent="0.25">
      <c r="B1835" t="s">
        <v>149</v>
      </c>
      <c r="D1835" t="s">
        <v>696</v>
      </c>
      <c r="E1835" t="s">
        <v>149</v>
      </c>
      <c r="G1835">
        <v>0</v>
      </c>
    </row>
    <row r="1836" spans="2:7" x14ac:dyDescent="0.25">
      <c r="B1836" t="s">
        <v>149</v>
      </c>
      <c r="D1836" t="s">
        <v>696</v>
      </c>
      <c r="E1836" t="s">
        <v>149</v>
      </c>
      <c r="G1836">
        <v>0</v>
      </c>
    </row>
    <row r="1837" spans="2:7" x14ac:dyDescent="0.25">
      <c r="B1837" t="s">
        <v>149</v>
      </c>
      <c r="D1837" t="s">
        <v>696</v>
      </c>
      <c r="E1837" t="s">
        <v>149</v>
      </c>
      <c r="G1837">
        <v>0</v>
      </c>
    </row>
    <row r="1838" spans="2:7" x14ac:dyDescent="0.25">
      <c r="B1838" t="s">
        <v>149</v>
      </c>
      <c r="D1838" t="s">
        <v>696</v>
      </c>
      <c r="E1838" t="s">
        <v>149</v>
      </c>
      <c r="G1838">
        <v>0</v>
      </c>
    </row>
    <row r="1839" spans="2:7" x14ac:dyDescent="0.25">
      <c r="B1839" t="s">
        <v>149</v>
      </c>
      <c r="D1839" t="s">
        <v>696</v>
      </c>
      <c r="E1839" t="s">
        <v>149</v>
      </c>
      <c r="G1839">
        <v>0</v>
      </c>
    </row>
    <row r="1840" spans="2:7" x14ac:dyDescent="0.25">
      <c r="B1840" t="s">
        <v>149</v>
      </c>
      <c r="D1840" t="s">
        <v>696</v>
      </c>
      <c r="E1840" t="s">
        <v>149</v>
      </c>
      <c r="G1840">
        <v>0</v>
      </c>
    </row>
    <row r="1841" spans="2:7" x14ac:dyDescent="0.25">
      <c r="B1841" t="s">
        <v>149</v>
      </c>
      <c r="D1841" t="s">
        <v>696</v>
      </c>
      <c r="E1841" t="s">
        <v>149</v>
      </c>
      <c r="G1841">
        <v>0</v>
      </c>
    </row>
    <row r="1842" spans="2:7" x14ac:dyDescent="0.25">
      <c r="B1842" t="s">
        <v>149</v>
      </c>
      <c r="D1842" t="s">
        <v>696</v>
      </c>
      <c r="E1842" t="s">
        <v>149</v>
      </c>
      <c r="G1842">
        <v>0</v>
      </c>
    </row>
    <row r="1843" spans="2:7" x14ac:dyDescent="0.25">
      <c r="B1843" t="s">
        <v>149</v>
      </c>
      <c r="D1843" t="s">
        <v>696</v>
      </c>
      <c r="E1843" t="s">
        <v>149</v>
      </c>
      <c r="G1843">
        <v>0</v>
      </c>
    </row>
    <row r="1844" spans="2:7" x14ac:dyDescent="0.25">
      <c r="B1844" t="s">
        <v>149</v>
      </c>
      <c r="D1844" t="s">
        <v>696</v>
      </c>
      <c r="E1844" t="s">
        <v>149</v>
      </c>
      <c r="G1844">
        <v>0</v>
      </c>
    </row>
    <row r="1845" spans="2:7" x14ac:dyDescent="0.25">
      <c r="B1845" t="s">
        <v>149</v>
      </c>
      <c r="D1845" t="s">
        <v>696</v>
      </c>
      <c r="E1845" t="s">
        <v>149</v>
      </c>
      <c r="G1845">
        <v>0</v>
      </c>
    </row>
    <row r="1846" spans="2:7" x14ac:dyDescent="0.25">
      <c r="B1846" t="s">
        <v>149</v>
      </c>
      <c r="D1846" t="s">
        <v>696</v>
      </c>
      <c r="E1846" t="s">
        <v>149</v>
      </c>
      <c r="G1846">
        <v>0</v>
      </c>
    </row>
    <row r="1847" spans="2:7" x14ac:dyDescent="0.25">
      <c r="B1847" t="s">
        <v>149</v>
      </c>
      <c r="D1847" t="s">
        <v>696</v>
      </c>
      <c r="E1847" t="s">
        <v>149</v>
      </c>
      <c r="G1847">
        <v>0</v>
      </c>
    </row>
    <row r="1848" spans="2:7" x14ac:dyDescent="0.25">
      <c r="B1848" t="s">
        <v>149</v>
      </c>
      <c r="D1848" t="s">
        <v>696</v>
      </c>
      <c r="E1848" t="s">
        <v>149</v>
      </c>
      <c r="G1848">
        <v>0</v>
      </c>
    </row>
    <row r="1849" spans="2:7" x14ac:dyDescent="0.25">
      <c r="B1849" t="s">
        <v>149</v>
      </c>
      <c r="D1849" t="s">
        <v>696</v>
      </c>
      <c r="E1849" t="s">
        <v>149</v>
      </c>
      <c r="G1849">
        <v>0</v>
      </c>
    </row>
    <row r="1850" spans="2:7" x14ac:dyDescent="0.25">
      <c r="B1850" t="s">
        <v>149</v>
      </c>
      <c r="D1850" t="s">
        <v>696</v>
      </c>
      <c r="E1850" t="s">
        <v>149</v>
      </c>
      <c r="G1850">
        <v>0</v>
      </c>
    </row>
    <row r="1851" spans="2:7" x14ac:dyDescent="0.25">
      <c r="B1851" t="s">
        <v>149</v>
      </c>
      <c r="D1851" t="s">
        <v>696</v>
      </c>
      <c r="E1851" t="s">
        <v>149</v>
      </c>
      <c r="G1851">
        <v>0</v>
      </c>
    </row>
    <row r="1852" spans="2:7" x14ac:dyDescent="0.25">
      <c r="B1852" t="s">
        <v>149</v>
      </c>
      <c r="D1852" t="s">
        <v>696</v>
      </c>
      <c r="E1852" t="s">
        <v>149</v>
      </c>
      <c r="G1852">
        <v>0</v>
      </c>
    </row>
    <row r="1853" spans="2:7" x14ac:dyDescent="0.25">
      <c r="B1853" t="s">
        <v>149</v>
      </c>
      <c r="D1853" t="s">
        <v>696</v>
      </c>
      <c r="E1853" t="s">
        <v>149</v>
      </c>
      <c r="G1853">
        <v>0</v>
      </c>
    </row>
    <row r="1854" spans="2:7" x14ac:dyDescent="0.25">
      <c r="B1854" t="s">
        <v>149</v>
      </c>
      <c r="D1854" t="s">
        <v>696</v>
      </c>
      <c r="E1854" t="s">
        <v>149</v>
      </c>
      <c r="G1854">
        <v>0</v>
      </c>
    </row>
    <row r="1855" spans="2:7" x14ac:dyDescent="0.25">
      <c r="B1855" t="s">
        <v>149</v>
      </c>
      <c r="D1855" t="s">
        <v>696</v>
      </c>
      <c r="E1855" t="s">
        <v>149</v>
      </c>
      <c r="G1855">
        <v>0</v>
      </c>
    </row>
    <row r="1856" spans="2:7" x14ac:dyDescent="0.25">
      <c r="B1856" t="s">
        <v>149</v>
      </c>
      <c r="D1856" t="s">
        <v>696</v>
      </c>
      <c r="E1856" t="s">
        <v>149</v>
      </c>
      <c r="G1856">
        <v>0</v>
      </c>
    </row>
    <row r="1857" spans="2:7" x14ac:dyDescent="0.25">
      <c r="B1857" t="s">
        <v>149</v>
      </c>
      <c r="D1857" t="s">
        <v>696</v>
      </c>
      <c r="E1857" t="s">
        <v>149</v>
      </c>
      <c r="G1857">
        <v>0</v>
      </c>
    </row>
    <row r="1858" spans="2:7" x14ac:dyDescent="0.25">
      <c r="B1858" t="s">
        <v>149</v>
      </c>
      <c r="D1858" t="s">
        <v>696</v>
      </c>
      <c r="E1858" t="s">
        <v>149</v>
      </c>
      <c r="G1858">
        <v>0</v>
      </c>
    </row>
    <row r="1859" spans="2:7" x14ac:dyDescent="0.25">
      <c r="B1859" t="s">
        <v>149</v>
      </c>
      <c r="D1859" t="s">
        <v>696</v>
      </c>
      <c r="E1859" t="s">
        <v>149</v>
      </c>
      <c r="G1859">
        <v>0</v>
      </c>
    </row>
    <row r="1860" spans="2:7" x14ac:dyDescent="0.25">
      <c r="B1860" t="s">
        <v>149</v>
      </c>
      <c r="D1860" t="s">
        <v>696</v>
      </c>
      <c r="E1860" t="s">
        <v>149</v>
      </c>
      <c r="G1860">
        <v>0</v>
      </c>
    </row>
    <row r="1861" spans="2:7" x14ac:dyDescent="0.25">
      <c r="B1861" t="s">
        <v>149</v>
      </c>
      <c r="D1861" t="s">
        <v>696</v>
      </c>
      <c r="E1861" t="s">
        <v>149</v>
      </c>
      <c r="G1861">
        <v>0</v>
      </c>
    </row>
    <row r="1862" spans="2:7" x14ac:dyDescent="0.25">
      <c r="B1862" t="s">
        <v>149</v>
      </c>
      <c r="D1862" t="s">
        <v>696</v>
      </c>
      <c r="E1862" t="s">
        <v>149</v>
      </c>
      <c r="G1862">
        <v>0</v>
      </c>
    </row>
    <row r="1863" spans="2:7" x14ac:dyDescent="0.25">
      <c r="B1863" t="s">
        <v>149</v>
      </c>
      <c r="D1863" t="s">
        <v>696</v>
      </c>
      <c r="E1863" t="s">
        <v>149</v>
      </c>
      <c r="G1863">
        <v>0</v>
      </c>
    </row>
    <row r="1864" spans="2:7" x14ac:dyDescent="0.25">
      <c r="B1864" t="s">
        <v>149</v>
      </c>
      <c r="D1864" t="s">
        <v>696</v>
      </c>
      <c r="E1864" t="s">
        <v>149</v>
      </c>
      <c r="G1864">
        <v>0</v>
      </c>
    </row>
    <row r="1865" spans="2:7" x14ac:dyDescent="0.25">
      <c r="B1865" t="s">
        <v>149</v>
      </c>
      <c r="D1865" t="s">
        <v>696</v>
      </c>
      <c r="E1865" t="s">
        <v>149</v>
      </c>
      <c r="G1865">
        <v>0</v>
      </c>
    </row>
    <row r="1866" spans="2:7" x14ac:dyDescent="0.25">
      <c r="B1866" t="s">
        <v>149</v>
      </c>
      <c r="D1866" t="s">
        <v>696</v>
      </c>
      <c r="E1866" t="s">
        <v>149</v>
      </c>
      <c r="G1866">
        <v>0</v>
      </c>
    </row>
    <row r="1867" spans="2:7" x14ac:dyDescent="0.25">
      <c r="B1867" t="s">
        <v>149</v>
      </c>
      <c r="D1867" t="s">
        <v>696</v>
      </c>
      <c r="E1867" t="s">
        <v>149</v>
      </c>
      <c r="G1867">
        <v>0</v>
      </c>
    </row>
    <row r="1868" spans="2:7" x14ac:dyDescent="0.25">
      <c r="B1868" t="s">
        <v>149</v>
      </c>
      <c r="D1868" t="s">
        <v>696</v>
      </c>
      <c r="E1868" t="s">
        <v>149</v>
      </c>
      <c r="G1868">
        <v>0</v>
      </c>
    </row>
    <row r="1869" spans="2:7" x14ac:dyDescent="0.25">
      <c r="B1869" t="s">
        <v>149</v>
      </c>
      <c r="D1869" t="s">
        <v>696</v>
      </c>
      <c r="E1869" t="s">
        <v>149</v>
      </c>
      <c r="G1869">
        <v>0</v>
      </c>
    </row>
    <row r="1870" spans="2:7" x14ac:dyDescent="0.25">
      <c r="B1870" t="s">
        <v>149</v>
      </c>
      <c r="D1870" t="s">
        <v>696</v>
      </c>
      <c r="E1870" t="s">
        <v>149</v>
      </c>
      <c r="G1870">
        <v>0</v>
      </c>
    </row>
    <row r="1871" spans="2:7" x14ac:dyDescent="0.25">
      <c r="B1871" t="s">
        <v>149</v>
      </c>
      <c r="D1871" t="s">
        <v>696</v>
      </c>
      <c r="E1871" t="s">
        <v>149</v>
      </c>
      <c r="G1871">
        <v>0</v>
      </c>
    </row>
    <row r="1872" spans="2:7" x14ac:dyDescent="0.25">
      <c r="B1872" t="s">
        <v>149</v>
      </c>
      <c r="D1872" t="s">
        <v>696</v>
      </c>
      <c r="E1872" t="s">
        <v>149</v>
      </c>
      <c r="G1872">
        <v>0</v>
      </c>
    </row>
    <row r="1873" spans="2:7" x14ac:dyDescent="0.25">
      <c r="B1873" t="s">
        <v>149</v>
      </c>
      <c r="D1873" t="s">
        <v>696</v>
      </c>
      <c r="E1873" t="s">
        <v>149</v>
      </c>
      <c r="G1873">
        <v>0</v>
      </c>
    </row>
    <row r="1874" spans="2:7" x14ac:dyDescent="0.25">
      <c r="B1874" t="s">
        <v>149</v>
      </c>
      <c r="D1874" t="s">
        <v>696</v>
      </c>
      <c r="E1874" t="s">
        <v>149</v>
      </c>
      <c r="G1874">
        <v>0</v>
      </c>
    </row>
    <row r="1875" spans="2:7" x14ac:dyDescent="0.25">
      <c r="B1875" t="s">
        <v>149</v>
      </c>
      <c r="D1875" t="s">
        <v>696</v>
      </c>
      <c r="E1875" t="s">
        <v>149</v>
      </c>
      <c r="G1875">
        <v>0</v>
      </c>
    </row>
    <row r="1876" spans="2:7" x14ac:dyDescent="0.25">
      <c r="B1876" t="s">
        <v>149</v>
      </c>
      <c r="D1876" t="s">
        <v>696</v>
      </c>
      <c r="E1876" t="s">
        <v>149</v>
      </c>
      <c r="G1876">
        <v>0</v>
      </c>
    </row>
    <row r="1877" spans="2:7" x14ac:dyDescent="0.25">
      <c r="B1877" t="s">
        <v>149</v>
      </c>
      <c r="D1877" t="s">
        <v>696</v>
      </c>
      <c r="E1877" t="s">
        <v>149</v>
      </c>
      <c r="G1877">
        <v>0</v>
      </c>
    </row>
    <row r="1878" spans="2:7" x14ac:dyDescent="0.25">
      <c r="B1878" t="s">
        <v>149</v>
      </c>
      <c r="D1878" t="s">
        <v>696</v>
      </c>
      <c r="E1878" t="s">
        <v>149</v>
      </c>
      <c r="G1878">
        <v>0</v>
      </c>
    </row>
    <row r="1879" spans="2:7" x14ac:dyDescent="0.25">
      <c r="B1879" t="s">
        <v>149</v>
      </c>
      <c r="D1879" t="s">
        <v>696</v>
      </c>
      <c r="E1879" t="s">
        <v>149</v>
      </c>
      <c r="G1879">
        <v>0</v>
      </c>
    </row>
    <row r="1880" spans="2:7" x14ac:dyDescent="0.25">
      <c r="B1880" t="s">
        <v>149</v>
      </c>
      <c r="D1880" t="s">
        <v>696</v>
      </c>
      <c r="E1880" t="s">
        <v>149</v>
      </c>
      <c r="G1880">
        <v>0</v>
      </c>
    </row>
    <row r="1881" spans="2:7" x14ac:dyDescent="0.25">
      <c r="B1881" t="s">
        <v>149</v>
      </c>
      <c r="D1881" t="s">
        <v>696</v>
      </c>
      <c r="E1881" t="s">
        <v>149</v>
      </c>
      <c r="G1881">
        <v>0</v>
      </c>
    </row>
    <row r="1882" spans="2:7" x14ac:dyDescent="0.25">
      <c r="B1882" t="s">
        <v>149</v>
      </c>
      <c r="D1882" t="s">
        <v>696</v>
      </c>
      <c r="E1882" t="s">
        <v>149</v>
      </c>
      <c r="G1882">
        <v>0</v>
      </c>
    </row>
    <row r="1883" spans="2:7" x14ac:dyDescent="0.25">
      <c r="B1883" t="s">
        <v>149</v>
      </c>
      <c r="D1883" t="s">
        <v>696</v>
      </c>
      <c r="E1883" t="s">
        <v>149</v>
      </c>
      <c r="G1883">
        <v>0</v>
      </c>
    </row>
    <row r="1884" spans="2:7" x14ac:dyDescent="0.25">
      <c r="B1884" t="s">
        <v>149</v>
      </c>
      <c r="D1884" t="s">
        <v>696</v>
      </c>
      <c r="E1884" t="s">
        <v>149</v>
      </c>
      <c r="G1884">
        <v>0</v>
      </c>
    </row>
    <row r="1885" spans="2:7" x14ac:dyDescent="0.25">
      <c r="B1885" t="s">
        <v>149</v>
      </c>
      <c r="D1885" t="s">
        <v>696</v>
      </c>
      <c r="E1885" t="s">
        <v>149</v>
      </c>
      <c r="G1885">
        <v>0</v>
      </c>
    </row>
    <row r="1886" spans="2:7" x14ac:dyDescent="0.25">
      <c r="B1886" t="s">
        <v>149</v>
      </c>
      <c r="D1886" t="s">
        <v>696</v>
      </c>
      <c r="E1886" t="s">
        <v>149</v>
      </c>
      <c r="G1886">
        <v>0</v>
      </c>
    </row>
    <row r="1887" spans="2:7" x14ac:dyDescent="0.25">
      <c r="B1887" t="s">
        <v>149</v>
      </c>
      <c r="D1887" t="s">
        <v>696</v>
      </c>
      <c r="E1887" t="s">
        <v>149</v>
      </c>
      <c r="G1887">
        <v>0</v>
      </c>
    </row>
    <row r="1888" spans="2:7" x14ac:dyDescent="0.25">
      <c r="B1888" t="s">
        <v>149</v>
      </c>
      <c r="D1888" t="s">
        <v>696</v>
      </c>
      <c r="E1888" t="s">
        <v>149</v>
      </c>
      <c r="G1888">
        <v>0</v>
      </c>
    </row>
    <row r="1889" spans="2:7" x14ac:dyDescent="0.25">
      <c r="B1889" t="s">
        <v>149</v>
      </c>
      <c r="D1889" t="s">
        <v>696</v>
      </c>
      <c r="E1889" t="s">
        <v>149</v>
      </c>
      <c r="G1889">
        <v>0</v>
      </c>
    </row>
    <row r="1890" spans="2:7" x14ac:dyDescent="0.25">
      <c r="B1890" t="s">
        <v>149</v>
      </c>
      <c r="D1890" t="s">
        <v>696</v>
      </c>
      <c r="E1890" t="s">
        <v>149</v>
      </c>
      <c r="G1890">
        <v>0</v>
      </c>
    </row>
    <row r="1891" spans="2:7" x14ac:dyDescent="0.25">
      <c r="B1891" t="s">
        <v>149</v>
      </c>
      <c r="D1891" t="s">
        <v>696</v>
      </c>
      <c r="E1891" t="s">
        <v>149</v>
      </c>
      <c r="G1891">
        <v>0</v>
      </c>
    </row>
    <row r="1892" spans="2:7" x14ac:dyDescent="0.25">
      <c r="B1892" t="s">
        <v>149</v>
      </c>
      <c r="D1892" t="s">
        <v>696</v>
      </c>
      <c r="E1892" t="s">
        <v>149</v>
      </c>
      <c r="G1892">
        <v>0</v>
      </c>
    </row>
    <row r="1893" spans="2:7" x14ac:dyDescent="0.25">
      <c r="B1893" t="s">
        <v>149</v>
      </c>
      <c r="D1893" t="s">
        <v>696</v>
      </c>
      <c r="E1893" t="s">
        <v>149</v>
      </c>
      <c r="G1893">
        <v>0</v>
      </c>
    </row>
    <row r="1894" spans="2:7" x14ac:dyDescent="0.25">
      <c r="B1894" t="s">
        <v>149</v>
      </c>
      <c r="D1894" t="s">
        <v>696</v>
      </c>
      <c r="E1894" t="s">
        <v>149</v>
      </c>
      <c r="G1894">
        <v>0</v>
      </c>
    </row>
    <row r="1895" spans="2:7" x14ac:dyDescent="0.25">
      <c r="B1895" t="s">
        <v>149</v>
      </c>
      <c r="D1895" t="s">
        <v>696</v>
      </c>
      <c r="E1895" t="s">
        <v>149</v>
      </c>
      <c r="G1895">
        <v>0</v>
      </c>
    </row>
    <row r="1896" spans="2:7" x14ac:dyDescent="0.25">
      <c r="B1896" t="s">
        <v>149</v>
      </c>
      <c r="D1896" t="s">
        <v>696</v>
      </c>
      <c r="E1896" t="s">
        <v>149</v>
      </c>
      <c r="G1896">
        <v>0</v>
      </c>
    </row>
    <row r="1897" spans="2:7" x14ac:dyDescent="0.25">
      <c r="B1897" t="s">
        <v>149</v>
      </c>
      <c r="D1897" t="s">
        <v>696</v>
      </c>
      <c r="E1897" t="s">
        <v>149</v>
      </c>
      <c r="G1897">
        <v>0</v>
      </c>
    </row>
    <row r="1898" spans="2:7" x14ac:dyDescent="0.25">
      <c r="B1898" t="s">
        <v>149</v>
      </c>
      <c r="D1898" t="s">
        <v>696</v>
      </c>
      <c r="E1898" t="s">
        <v>149</v>
      </c>
      <c r="G1898">
        <v>0</v>
      </c>
    </row>
    <row r="1899" spans="2:7" x14ac:dyDescent="0.25">
      <c r="B1899" t="s">
        <v>149</v>
      </c>
      <c r="D1899" t="s">
        <v>696</v>
      </c>
      <c r="E1899" t="s">
        <v>149</v>
      </c>
      <c r="G1899">
        <v>0</v>
      </c>
    </row>
    <row r="1900" spans="2:7" x14ac:dyDescent="0.25">
      <c r="B1900" t="s">
        <v>149</v>
      </c>
      <c r="D1900" t="s">
        <v>696</v>
      </c>
      <c r="E1900" t="s">
        <v>149</v>
      </c>
      <c r="G1900">
        <v>0</v>
      </c>
    </row>
    <row r="1901" spans="2:7" x14ac:dyDescent="0.25">
      <c r="B1901" t="s">
        <v>149</v>
      </c>
      <c r="D1901" t="s">
        <v>696</v>
      </c>
      <c r="E1901" t="s">
        <v>149</v>
      </c>
      <c r="G1901">
        <v>0</v>
      </c>
    </row>
    <row r="1902" spans="2:7" x14ac:dyDescent="0.25">
      <c r="B1902" t="s">
        <v>149</v>
      </c>
      <c r="D1902" t="s">
        <v>696</v>
      </c>
      <c r="E1902" t="s">
        <v>149</v>
      </c>
      <c r="G1902">
        <v>0</v>
      </c>
    </row>
    <row r="1903" spans="2:7" x14ac:dyDescent="0.25">
      <c r="B1903" t="s">
        <v>149</v>
      </c>
      <c r="D1903" t="s">
        <v>696</v>
      </c>
      <c r="E1903" t="s">
        <v>149</v>
      </c>
      <c r="G1903">
        <v>0</v>
      </c>
    </row>
    <row r="1904" spans="2:7" x14ac:dyDescent="0.25">
      <c r="B1904" t="s">
        <v>149</v>
      </c>
      <c r="D1904" t="s">
        <v>696</v>
      </c>
      <c r="E1904" t="s">
        <v>149</v>
      </c>
      <c r="G1904">
        <v>0</v>
      </c>
    </row>
    <row r="1905" spans="2:7" x14ac:dyDescent="0.25">
      <c r="B1905" t="s">
        <v>149</v>
      </c>
      <c r="D1905" t="s">
        <v>696</v>
      </c>
      <c r="E1905" t="s">
        <v>149</v>
      </c>
      <c r="G1905">
        <v>0</v>
      </c>
    </row>
    <row r="1906" spans="2:7" x14ac:dyDescent="0.25">
      <c r="B1906" t="s">
        <v>149</v>
      </c>
      <c r="D1906" t="s">
        <v>696</v>
      </c>
      <c r="E1906" t="s">
        <v>149</v>
      </c>
      <c r="G1906">
        <v>0</v>
      </c>
    </row>
    <row r="1907" spans="2:7" x14ac:dyDescent="0.25">
      <c r="B1907" t="s">
        <v>149</v>
      </c>
      <c r="D1907" t="s">
        <v>696</v>
      </c>
      <c r="E1907" t="s">
        <v>149</v>
      </c>
      <c r="G1907">
        <v>0</v>
      </c>
    </row>
    <row r="1908" spans="2:7" x14ac:dyDescent="0.25">
      <c r="B1908" t="s">
        <v>149</v>
      </c>
      <c r="D1908" t="s">
        <v>696</v>
      </c>
      <c r="E1908" t="s">
        <v>149</v>
      </c>
      <c r="G1908">
        <v>0</v>
      </c>
    </row>
    <row r="1909" spans="2:7" x14ac:dyDescent="0.25">
      <c r="B1909" t="s">
        <v>149</v>
      </c>
      <c r="D1909" t="s">
        <v>696</v>
      </c>
      <c r="E1909" t="s">
        <v>149</v>
      </c>
      <c r="G1909">
        <v>0</v>
      </c>
    </row>
    <row r="1910" spans="2:7" x14ac:dyDescent="0.25">
      <c r="B1910" t="s">
        <v>149</v>
      </c>
      <c r="D1910" t="s">
        <v>696</v>
      </c>
      <c r="E1910" t="s">
        <v>149</v>
      </c>
      <c r="G1910">
        <v>0</v>
      </c>
    </row>
    <row r="1911" spans="2:7" x14ac:dyDescent="0.25">
      <c r="B1911" t="s">
        <v>149</v>
      </c>
      <c r="D1911" t="s">
        <v>696</v>
      </c>
      <c r="E1911" t="s">
        <v>149</v>
      </c>
      <c r="G1911">
        <v>0</v>
      </c>
    </row>
    <row r="1912" spans="2:7" x14ac:dyDescent="0.25">
      <c r="B1912" t="s">
        <v>149</v>
      </c>
      <c r="D1912" t="s">
        <v>696</v>
      </c>
      <c r="E1912" t="s">
        <v>149</v>
      </c>
      <c r="G1912">
        <v>0</v>
      </c>
    </row>
    <row r="1913" spans="2:7" x14ac:dyDescent="0.25">
      <c r="B1913" t="s">
        <v>149</v>
      </c>
      <c r="D1913" t="s">
        <v>696</v>
      </c>
      <c r="E1913" t="s">
        <v>149</v>
      </c>
      <c r="G1913">
        <v>0</v>
      </c>
    </row>
    <row r="1914" spans="2:7" x14ac:dyDescent="0.25">
      <c r="B1914" t="s">
        <v>149</v>
      </c>
      <c r="D1914" t="s">
        <v>696</v>
      </c>
      <c r="E1914" t="s">
        <v>149</v>
      </c>
      <c r="G1914">
        <v>0</v>
      </c>
    </row>
    <row r="1915" spans="2:7" x14ac:dyDescent="0.25">
      <c r="B1915" t="s">
        <v>149</v>
      </c>
      <c r="D1915" t="s">
        <v>696</v>
      </c>
      <c r="E1915" t="s">
        <v>149</v>
      </c>
      <c r="G1915">
        <v>0</v>
      </c>
    </row>
    <row r="1916" spans="2:7" x14ac:dyDescent="0.25">
      <c r="B1916" t="s">
        <v>149</v>
      </c>
      <c r="D1916" t="s">
        <v>696</v>
      </c>
      <c r="E1916" t="s">
        <v>149</v>
      </c>
      <c r="G1916">
        <v>0</v>
      </c>
    </row>
    <row r="1917" spans="2:7" x14ac:dyDescent="0.25">
      <c r="B1917" t="s">
        <v>149</v>
      </c>
      <c r="D1917" t="s">
        <v>696</v>
      </c>
      <c r="E1917" t="s">
        <v>149</v>
      </c>
      <c r="G1917">
        <v>0</v>
      </c>
    </row>
    <row r="1918" spans="2:7" x14ac:dyDescent="0.25">
      <c r="B1918" t="s">
        <v>149</v>
      </c>
      <c r="D1918" t="s">
        <v>696</v>
      </c>
      <c r="E1918" t="s">
        <v>149</v>
      </c>
      <c r="G1918">
        <v>0</v>
      </c>
    </row>
    <row r="1919" spans="2:7" x14ac:dyDescent="0.25">
      <c r="B1919" t="s">
        <v>149</v>
      </c>
      <c r="D1919" t="s">
        <v>696</v>
      </c>
      <c r="E1919" t="s">
        <v>149</v>
      </c>
      <c r="G1919">
        <v>0</v>
      </c>
    </row>
    <row r="1920" spans="2:7" x14ac:dyDescent="0.25">
      <c r="B1920" t="s">
        <v>149</v>
      </c>
      <c r="D1920" t="s">
        <v>696</v>
      </c>
      <c r="E1920" t="s">
        <v>149</v>
      </c>
      <c r="G1920">
        <v>0</v>
      </c>
    </row>
    <row r="1921" spans="2:7" x14ac:dyDescent="0.25">
      <c r="B1921" t="s">
        <v>149</v>
      </c>
      <c r="D1921" t="s">
        <v>696</v>
      </c>
      <c r="E1921" t="s">
        <v>149</v>
      </c>
      <c r="G1921">
        <v>0</v>
      </c>
    </row>
    <row r="1922" spans="2:7" x14ac:dyDescent="0.25">
      <c r="B1922" t="s">
        <v>149</v>
      </c>
      <c r="D1922" t="s">
        <v>696</v>
      </c>
      <c r="E1922" t="s">
        <v>149</v>
      </c>
      <c r="G1922">
        <v>0</v>
      </c>
    </row>
    <row r="1923" spans="2:7" x14ac:dyDescent="0.25">
      <c r="B1923" t="s">
        <v>149</v>
      </c>
      <c r="D1923" t="s">
        <v>696</v>
      </c>
      <c r="E1923" t="s">
        <v>149</v>
      </c>
      <c r="G1923">
        <v>0</v>
      </c>
    </row>
    <row r="1924" spans="2:7" x14ac:dyDescent="0.25">
      <c r="B1924" t="s">
        <v>149</v>
      </c>
      <c r="D1924" t="s">
        <v>696</v>
      </c>
      <c r="E1924" t="s">
        <v>149</v>
      </c>
      <c r="G1924">
        <v>0</v>
      </c>
    </row>
    <row r="1925" spans="2:7" x14ac:dyDescent="0.25">
      <c r="B1925" t="s">
        <v>149</v>
      </c>
      <c r="D1925" t="s">
        <v>696</v>
      </c>
      <c r="E1925" t="s">
        <v>149</v>
      </c>
      <c r="G1925">
        <v>0</v>
      </c>
    </row>
    <row r="1926" spans="2:7" x14ac:dyDescent="0.25">
      <c r="B1926" t="s">
        <v>149</v>
      </c>
      <c r="D1926" t="s">
        <v>696</v>
      </c>
      <c r="E1926" t="s">
        <v>149</v>
      </c>
      <c r="G1926">
        <v>0</v>
      </c>
    </row>
    <row r="1927" spans="2:7" x14ac:dyDescent="0.25">
      <c r="B1927" t="s">
        <v>149</v>
      </c>
      <c r="D1927" t="s">
        <v>696</v>
      </c>
      <c r="E1927" t="s">
        <v>149</v>
      </c>
      <c r="G1927">
        <v>0</v>
      </c>
    </row>
    <row r="1928" spans="2:7" x14ac:dyDescent="0.25">
      <c r="B1928" t="s">
        <v>149</v>
      </c>
      <c r="D1928" t="s">
        <v>696</v>
      </c>
      <c r="E1928" t="s">
        <v>149</v>
      </c>
      <c r="G1928">
        <v>0</v>
      </c>
    </row>
    <row r="1929" spans="2:7" x14ac:dyDescent="0.25">
      <c r="B1929" t="s">
        <v>149</v>
      </c>
      <c r="D1929" t="s">
        <v>696</v>
      </c>
      <c r="E1929" t="s">
        <v>149</v>
      </c>
      <c r="G1929">
        <v>0</v>
      </c>
    </row>
    <row r="1930" spans="2:7" x14ac:dyDescent="0.25">
      <c r="B1930" t="s">
        <v>149</v>
      </c>
      <c r="D1930" t="s">
        <v>696</v>
      </c>
      <c r="E1930" t="s">
        <v>149</v>
      </c>
      <c r="G1930">
        <v>0</v>
      </c>
    </row>
    <row r="1931" spans="2:7" x14ac:dyDescent="0.25">
      <c r="B1931" t="s">
        <v>149</v>
      </c>
      <c r="D1931" t="s">
        <v>696</v>
      </c>
      <c r="E1931" t="s">
        <v>149</v>
      </c>
      <c r="G1931">
        <v>0</v>
      </c>
    </row>
    <row r="1932" spans="2:7" x14ac:dyDescent="0.25">
      <c r="B1932" t="s">
        <v>149</v>
      </c>
      <c r="D1932" t="s">
        <v>696</v>
      </c>
      <c r="E1932" t="s">
        <v>149</v>
      </c>
      <c r="G1932">
        <v>0</v>
      </c>
    </row>
    <row r="1933" spans="2:7" x14ac:dyDescent="0.25">
      <c r="B1933" t="s">
        <v>149</v>
      </c>
      <c r="D1933" t="s">
        <v>696</v>
      </c>
      <c r="E1933" t="s">
        <v>149</v>
      </c>
      <c r="G1933">
        <v>0</v>
      </c>
    </row>
    <row r="1934" spans="2:7" x14ac:dyDescent="0.25">
      <c r="B1934" t="s">
        <v>149</v>
      </c>
      <c r="D1934" t="s">
        <v>696</v>
      </c>
      <c r="E1934" t="s">
        <v>149</v>
      </c>
      <c r="G1934">
        <v>0</v>
      </c>
    </row>
    <row r="1935" spans="2:7" x14ac:dyDescent="0.25">
      <c r="B1935" t="s">
        <v>149</v>
      </c>
      <c r="D1935" t="s">
        <v>696</v>
      </c>
      <c r="E1935" t="s">
        <v>149</v>
      </c>
      <c r="G1935">
        <v>0</v>
      </c>
    </row>
    <row r="1936" spans="2:7" x14ac:dyDescent="0.25">
      <c r="B1936" t="s">
        <v>149</v>
      </c>
      <c r="D1936" t="s">
        <v>696</v>
      </c>
      <c r="E1936" t="s">
        <v>149</v>
      </c>
      <c r="G1936">
        <v>0</v>
      </c>
    </row>
    <row r="1937" spans="2:7" x14ac:dyDescent="0.25">
      <c r="B1937" t="s">
        <v>149</v>
      </c>
      <c r="D1937" t="s">
        <v>696</v>
      </c>
      <c r="E1937" t="s">
        <v>149</v>
      </c>
      <c r="G1937">
        <v>0</v>
      </c>
    </row>
    <row r="1938" spans="2:7" x14ac:dyDescent="0.25">
      <c r="B1938" t="s">
        <v>149</v>
      </c>
      <c r="D1938" t="s">
        <v>696</v>
      </c>
      <c r="E1938" t="s">
        <v>149</v>
      </c>
      <c r="G1938">
        <v>0</v>
      </c>
    </row>
    <row r="1939" spans="2:7" x14ac:dyDescent="0.25">
      <c r="B1939" t="s">
        <v>149</v>
      </c>
      <c r="D1939" t="s">
        <v>696</v>
      </c>
      <c r="E1939" t="s">
        <v>149</v>
      </c>
      <c r="G1939">
        <v>0</v>
      </c>
    </row>
    <row r="1940" spans="2:7" x14ac:dyDescent="0.25">
      <c r="B1940" t="s">
        <v>149</v>
      </c>
      <c r="D1940" t="s">
        <v>696</v>
      </c>
      <c r="E1940" t="s">
        <v>149</v>
      </c>
      <c r="G1940">
        <v>0</v>
      </c>
    </row>
    <row r="1941" spans="2:7" x14ac:dyDescent="0.25">
      <c r="B1941" t="s">
        <v>149</v>
      </c>
      <c r="D1941" t="s">
        <v>696</v>
      </c>
      <c r="E1941" t="s">
        <v>149</v>
      </c>
      <c r="G1941">
        <v>0</v>
      </c>
    </row>
    <row r="1942" spans="2:7" x14ac:dyDescent="0.25">
      <c r="B1942" t="s">
        <v>149</v>
      </c>
      <c r="D1942" t="s">
        <v>696</v>
      </c>
      <c r="E1942" t="s">
        <v>149</v>
      </c>
      <c r="G1942">
        <v>0</v>
      </c>
    </row>
    <row r="1943" spans="2:7" x14ac:dyDescent="0.25">
      <c r="B1943" t="s">
        <v>149</v>
      </c>
      <c r="D1943" t="s">
        <v>696</v>
      </c>
      <c r="E1943" t="s">
        <v>149</v>
      </c>
      <c r="G1943">
        <v>0</v>
      </c>
    </row>
    <row r="1944" spans="2:7" x14ac:dyDescent="0.25">
      <c r="B1944" t="s">
        <v>149</v>
      </c>
      <c r="D1944" t="s">
        <v>696</v>
      </c>
      <c r="E1944" t="s">
        <v>149</v>
      </c>
      <c r="G1944">
        <v>0</v>
      </c>
    </row>
    <row r="1945" spans="2:7" x14ac:dyDescent="0.25">
      <c r="B1945" t="s">
        <v>149</v>
      </c>
      <c r="D1945" t="s">
        <v>696</v>
      </c>
      <c r="E1945" t="s">
        <v>149</v>
      </c>
      <c r="G1945">
        <v>0</v>
      </c>
    </row>
    <row r="1946" spans="2:7" x14ac:dyDescent="0.25">
      <c r="B1946" t="s">
        <v>149</v>
      </c>
      <c r="D1946" t="s">
        <v>696</v>
      </c>
      <c r="E1946" t="s">
        <v>149</v>
      </c>
      <c r="G1946">
        <v>0</v>
      </c>
    </row>
    <row r="1947" spans="2:7" x14ac:dyDescent="0.25">
      <c r="B1947" t="s">
        <v>149</v>
      </c>
      <c r="D1947" t="s">
        <v>696</v>
      </c>
      <c r="E1947" t="s">
        <v>149</v>
      </c>
      <c r="G1947">
        <v>0</v>
      </c>
    </row>
    <row r="1948" spans="2:7" x14ac:dyDescent="0.25">
      <c r="B1948" t="s">
        <v>149</v>
      </c>
      <c r="D1948" t="s">
        <v>696</v>
      </c>
      <c r="E1948" t="s">
        <v>149</v>
      </c>
      <c r="G1948">
        <v>0</v>
      </c>
    </row>
    <row r="1949" spans="2:7" x14ac:dyDescent="0.25">
      <c r="B1949" t="s">
        <v>149</v>
      </c>
      <c r="D1949" t="s">
        <v>696</v>
      </c>
      <c r="E1949" t="s">
        <v>149</v>
      </c>
      <c r="G1949">
        <v>0</v>
      </c>
    </row>
    <row r="1950" spans="2:7" x14ac:dyDescent="0.25">
      <c r="B1950" t="s">
        <v>149</v>
      </c>
      <c r="D1950" t="s">
        <v>696</v>
      </c>
      <c r="E1950" t="s">
        <v>149</v>
      </c>
      <c r="G1950">
        <v>0</v>
      </c>
    </row>
    <row r="1951" spans="2:7" x14ac:dyDescent="0.25">
      <c r="B1951" t="s">
        <v>149</v>
      </c>
      <c r="D1951" t="s">
        <v>696</v>
      </c>
      <c r="E1951" t="s">
        <v>149</v>
      </c>
      <c r="G1951">
        <v>0</v>
      </c>
    </row>
    <row r="1952" spans="2:7" x14ac:dyDescent="0.25">
      <c r="B1952" t="s">
        <v>149</v>
      </c>
      <c r="D1952" t="s">
        <v>696</v>
      </c>
      <c r="E1952" t="s">
        <v>149</v>
      </c>
      <c r="G1952">
        <v>0</v>
      </c>
    </row>
    <row r="1953" spans="2:7" x14ac:dyDescent="0.25">
      <c r="B1953" t="s">
        <v>149</v>
      </c>
      <c r="D1953" t="s">
        <v>696</v>
      </c>
      <c r="E1953" t="s">
        <v>149</v>
      </c>
      <c r="G1953">
        <v>0</v>
      </c>
    </row>
    <row r="1954" spans="2:7" x14ac:dyDescent="0.25">
      <c r="E1954" t="s">
        <v>149</v>
      </c>
      <c r="G1954">
        <v>0</v>
      </c>
    </row>
  </sheetData>
  <autoFilter ref="A1:G1954" xr:uid="{1BAEBC58-9B71-4429-8145-AA73651A9E98}"/>
  <conditionalFormatting sqref="T12">
    <cfRule type="cellIs" dxfId="2" priority="1" operator="greaterThan">
      <formula>2.01%</formula>
    </cfRule>
    <cfRule type="cellIs" dxfId="1" priority="2" operator="between">
      <formula>-2%</formula>
      <formula>2%</formula>
    </cfRule>
    <cfRule type="cellIs" dxfId="0" priority="3" operator="lessThan">
      <formula>-2.01%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6384-043C-4002-900B-C2B768B3A032}">
  <dimension ref="A1:E9"/>
  <sheetViews>
    <sheetView workbookViewId="0">
      <selection activeCell="E2" sqref="E2"/>
    </sheetView>
  </sheetViews>
  <sheetFormatPr defaultRowHeight="15" x14ac:dyDescent="0.25"/>
  <cols>
    <col min="5" max="5" width="17.85546875" bestFit="1" customWidth="1"/>
  </cols>
  <sheetData>
    <row r="1" spans="1:5" x14ac:dyDescent="0.25">
      <c r="E1" t="s">
        <v>700</v>
      </c>
    </row>
    <row r="2" spans="1:5" x14ac:dyDescent="0.25">
      <c r="A2">
        <v>2738</v>
      </c>
      <c r="B2">
        <v>4320</v>
      </c>
      <c r="C2">
        <v>13</v>
      </c>
      <c r="D2">
        <v>104</v>
      </c>
      <c r="E2">
        <v>3532.65</v>
      </c>
    </row>
    <row r="3" spans="1:5" x14ac:dyDescent="0.25">
      <c r="A3">
        <v>9053</v>
      </c>
      <c r="B3">
        <v>2100</v>
      </c>
      <c r="C3">
        <v>11</v>
      </c>
      <c r="D3">
        <v>88</v>
      </c>
      <c r="E3">
        <v>3571.59</v>
      </c>
    </row>
    <row r="4" spans="1:5" x14ac:dyDescent="0.25">
      <c r="A4">
        <v>2283</v>
      </c>
      <c r="B4">
        <v>4200</v>
      </c>
      <c r="C4">
        <v>13</v>
      </c>
      <c r="D4">
        <v>104</v>
      </c>
      <c r="E4">
        <v>2111.61</v>
      </c>
    </row>
    <row r="5" spans="1:5" x14ac:dyDescent="0.25">
      <c r="A5">
        <v>2289</v>
      </c>
      <c r="B5">
        <v>2250</v>
      </c>
      <c r="C5">
        <v>7</v>
      </c>
      <c r="D5">
        <v>56</v>
      </c>
    </row>
    <row r="6" spans="1:5" x14ac:dyDescent="0.25">
      <c r="A6">
        <v>9187</v>
      </c>
      <c r="B6">
        <v>2500</v>
      </c>
      <c r="C6">
        <v>11</v>
      </c>
      <c r="D6">
        <v>88</v>
      </c>
    </row>
    <row r="7" spans="1:5" x14ac:dyDescent="0.25">
      <c r="A7">
        <v>9188</v>
      </c>
      <c r="B7">
        <v>2500</v>
      </c>
      <c r="C7">
        <v>11</v>
      </c>
      <c r="D7">
        <v>88</v>
      </c>
      <c r="E7">
        <v>2712.24</v>
      </c>
    </row>
    <row r="8" spans="1:5" x14ac:dyDescent="0.25">
      <c r="A8">
        <v>2736</v>
      </c>
      <c r="B8">
        <v>5500</v>
      </c>
      <c r="C8">
        <v>13</v>
      </c>
      <c r="D8">
        <v>104</v>
      </c>
    </row>
    <row r="9" spans="1:5" x14ac:dyDescent="0.25">
      <c r="A9">
        <v>9227</v>
      </c>
      <c r="B9">
        <v>5000</v>
      </c>
      <c r="C9">
        <v>13</v>
      </c>
      <c r="D9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</vt:lpstr>
      <vt:lpstr>B</vt:lpstr>
      <vt:lpstr>A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Facchin</dc:creator>
  <cp:lastModifiedBy>Marco Facchin</cp:lastModifiedBy>
  <dcterms:created xsi:type="dcterms:W3CDTF">2026-05-14T14:17:45Z</dcterms:created>
  <dcterms:modified xsi:type="dcterms:W3CDTF">2026-05-18T13:00:31Z</dcterms:modified>
</cp:coreProperties>
</file>